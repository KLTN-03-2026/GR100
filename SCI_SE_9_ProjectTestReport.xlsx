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"/>
    </mc:Choice>
  </mc:AlternateContent>
  <xr:revisionPtr revIDLastSave="0" documentId="13_ncr:1_{C78DA109-32ED-4477-BE94-626B362768BF}" xr6:coauthVersionLast="47" xr6:coauthVersionMax="47" xr10:uidLastSave="{00000000-0000-0000-0000-000000000000}"/>
  <bookViews>
    <workbookView xWindow="-108" yWindow="-108" windowWidth="23256" windowHeight="12456" activeTab="1" xr2:uid="{6E2DEFE1-50A9-472B-AD5B-5369DD26DBF0}"/>
  </bookViews>
  <sheets>
    <sheet name="Sprint 1" sheetId="1" r:id="rId1"/>
    <sheet name="Sprint 2" sheetId="2" r:id="rId2"/>
    <sheet name="Sprint1" sheetId="3" r:id="rId3"/>
    <sheet name="Sprint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4" l="1"/>
  <c r="D12" i="4" s="1"/>
  <c r="D13" i="3"/>
  <c r="D12" i="3"/>
  <c r="D8" i="3"/>
  <c r="D13" i="4" l="1"/>
  <c r="K13" i="2" l="1"/>
  <c r="G13" i="2"/>
  <c r="I15" i="2"/>
  <c r="H15" i="2"/>
  <c r="F15" i="2"/>
  <c r="E15" i="2"/>
  <c r="D15" i="2"/>
  <c r="K14" i="2"/>
  <c r="G14" i="2"/>
  <c r="K12" i="2"/>
  <c r="G12" i="2"/>
  <c r="K11" i="2"/>
  <c r="G11" i="2"/>
  <c r="K10" i="2"/>
  <c r="G10" i="2"/>
  <c r="E24" i="1"/>
  <c r="F24" i="1"/>
  <c r="G24" i="1"/>
  <c r="H24" i="1"/>
  <c r="I24" i="1"/>
  <c r="K24" i="1"/>
  <c r="D24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10" i="1"/>
  <c r="G15" i="2" l="1"/>
  <c r="K15" i="2"/>
</calcChain>
</file>

<file path=xl/sharedStrings.xml><?xml version="1.0" encoding="utf-8"?>
<sst xmlns="http://schemas.openxmlformats.org/spreadsheetml/2006/main" count="167" uniqueCount="86">
  <si>
    <t>TEST REPORT SPRINT 1</t>
  </si>
  <si>
    <t>Project Name</t>
  </si>
  <si>
    <t>Creator</t>
  </si>
  <si>
    <t>Project Code</t>
  </si>
  <si>
    <t>Reviewer/Approver</t>
  </si>
  <si>
    <t>Document Code</t>
  </si>
  <si>
    <t>Issue Date</t>
  </si>
  <si>
    <t>Notes</t>
  </si>
  <si>
    <t>ROUND 1</t>
  </si>
  <si>
    <t>ROUND 2</t>
  </si>
  <si>
    <t>No</t>
  </si>
  <si>
    <t>Module code</t>
  </si>
  <si>
    <t>Pass</t>
  </si>
  <si>
    <t>Fail</t>
  </si>
  <si>
    <t>Untested</t>
  </si>
  <si>
    <t>Date</t>
  </si>
  <si>
    <t>Number of test cases</t>
  </si>
  <si>
    <t>Đăng nhập</t>
  </si>
  <si>
    <t>Sub total</t>
  </si>
  <si>
    <t>Test successful coverage</t>
  </si>
  <si>
    <t>Thiết kế và phát triển hệ thống quản lý và điều phối nguồn lực tình nguyện viên trực tuyến tích hợp mô hình hỗ trợ ra quyết định</t>
  </si>
  <si>
    <t>Dương Ngọc Xuân Mai</t>
  </si>
  <si>
    <t>Đăng ký</t>
  </si>
  <si>
    <t>Xem chiến dịch</t>
  </si>
  <si>
    <t>Tìm kiếm chiến dịch</t>
  </si>
  <si>
    <t>Xem chi tiết chiến dịch</t>
  </si>
  <si>
    <t>Quản lý Profile</t>
  </si>
  <si>
    <t>Quản lý hồ sơ năng lực</t>
  </si>
  <si>
    <t>Quản lý chiến dịch</t>
  </si>
  <si>
    <t>Tham gia chiến dịch</t>
  </si>
  <si>
    <t>Recommendation chiến dịch</t>
  </si>
  <si>
    <t>Recommendation tình nguyện viên</t>
  </si>
  <si>
    <t>Duyệt chiến dịch</t>
  </si>
  <si>
    <t>Xử lý Feedback</t>
  </si>
  <si>
    <t>DashBoard kiểm duyệt viên</t>
  </si>
  <si>
    <t>Quản lý người dùng</t>
  </si>
  <si>
    <t>Quản lý danh mục hệ thống</t>
  </si>
  <si>
    <t>Quản lý phân quyền</t>
  </si>
  <si>
    <t>AI - Xác minh chiến dịch tự động</t>
  </si>
  <si>
    <t>Dashboard Admin</t>
  </si>
  <si>
    <t>Test Report Sprint 3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</si>
  <si>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</si>
  <si>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</si>
  <si>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</si>
  <si>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</si>
  <si>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</si>
  <si>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</si>
  <si>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</si>
  <si>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</si>
  <si>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</si>
  <si>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</si>
  <si>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</si>
  <si>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</si>
  <si>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</si>
  <si>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</si>
  <si>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</si>
  <si>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</si>
  <si>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</si>
  <si>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</si>
  <si>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</si>
  <si>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Bugs</t>
  </si>
  <si>
    <t>Status</t>
  </si>
  <si>
    <t>Severity</t>
  </si>
  <si>
    <t>Total</t>
  </si>
  <si>
    <t>Open</t>
  </si>
  <si>
    <t>Closed</t>
  </si>
  <si>
    <t>Responding</t>
  </si>
  <si>
    <t>Kiểm tra chức năng Đăng ký</t>
  </si>
  <si>
    <t>Kiểm tra chức năng Đăng nhập</t>
  </si>
  <si>
    <t>Kiểm tra chức năng Xem chiến dịch</t>
  </si>
  <si>
    <t>Kiểm tra chức năng Quản lý hồ sơ năng lực</t>
  </si>
  <si>
    <t>Kiểm tra chức năng Quản lý chiến dịch</t>
  </si>
  <si>
    <t>Kiểm tra chức năng Tham gia chiến dịch</t>
  </si>
  <si>
    <t>Kiểm tra chức năng DashBoard kiểm duyệt viên</t>
  </si>
  <si>
    <t>Kiểm tra chức năng Tìm kiếm chiến dịch</t>
  </si>
  <si>
    <t>Kiểm tra chức năng Xem chi tiết chiến dịch</t>
  </si>
  <si>
    <t>Kiểm tra chức năng Quản lý Profile</t>
  </si>
  <si>
    <t>Kiểm tra chức năng Recommendation chiến dịch</t>
  </si>
  <si>
    <t>Kiểm tra chức năng Recommendation tình nguyện viên</t>
  </si>
  <si>
    <t>Kiểm tra chức năng Duyệt chiến dịch</t>
  </si>
  <si>
    <t>Kiểm tra chức năng Xử lý Feedback</t>
  </si>
  <si>
    <t>Kiểm tra chức năng Quản lý người dùng</t>
  </si>
  <si>
    <t>Kiểm tra chức năng Quản lý danh mục hệ thống</t>
  </si>
  <si>
    <t>Kiểm tra chức năng Quản lý phân quyền</t>
  </si>
  <si>
    <t>Kiểm tra chức năng Dashboard Admin</t>
  </si>
  <si>
    <t>TEST REPORT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</si>
</sst>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b/>
      <i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D0CECE"/>
      </patternFill>
    </fill>
  </fills>
  <borders count="3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3" fillId="0" borderId="9" xfId="0" applyFont="1" applyBorder="1"/>
    <xf numFmtId="0" fontId="2" fillId="2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10" xfId="0" applyFont="1" applyBorder="1"/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3" fillId="0" borderId="23" xfId="0" applyFont="1" applyBorder="1"/>
    <xf numFmtId="0" fontId="2" fillId="2" borderId="22" xfId="0" applyFont="1" applyFill="1" applyBorder="1" applyAlignment="1">
      <alignment vertical="center" wrapText="1"/>
    </xf>
    <xf numFmtId="0" fontId="3" fillId="0" borderId="24" xfId="0" applyFont="1" applyBorder="1"/>
    <xf numFmtId="14" fontId="2" fillId="2" borderId="19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21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1" fillId="0" borderId="17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31" xfId="0" applyFont="1" applyBorder="1" applyAlignment="1">
      <alignment horizontal="left" wrapText="1"/>
    </xf>
    <xf numFmtId="0" fontId="2" fillId="0" borderId="32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8" fillId="6" borderId="27" xfId="0" applyFont="1" applyFill="1" applyBorder="1" applyAlignment="1">
      <alignment wrapText="1"/>
    </xf>
    <xf numFmtId="0" fontId="8" fillId="6" borderId="27" xfId="0" applyFont="1" applyFill="1" applyBorder="1" applyAlignment="1">
      <alignment horizontal="right" wrapText="1"/>
    </xf>
    <xf numFmtId="0" fontId="9" fillId="7" borderId="27" xfId="0" applyFont="1" applyFill="1" applyBorder="1" applyAlignment="1">
      <alignment wrapText="1"/>
    </xf>
    <xf numFmtId="0" fontId="9" fillId="7" borderId="27" xfId="0" applyFont="1" applyFill="1" applyBorder="1" applyAlignment="1">
      <alignment horizontal="right" wrapText="1"/>
    </xf>
    <xf numFmtId="0" fontId="2" fillId="0" borderId="27" xfId="0" applyFont="1" applyBorder="1" applyAlignment="1">
      <alignment horizontal="right" wrapText="1"/>
    </xf>
    <xf numFmtId="0" fontId="1" fillId="0" borderId="27" xfId="0" applyFont="1" applyBorder="1" applyAlignment="1">
      <alignment wrapText="1"/>
    </xf>
    <xf numFmtId="0" fontId="1" fillId="0" borderId="27" xfId="0" applyFont="1" applyBorder="1" applyAlignment="1">
      <alignment horizontal="right" wrapText="1"/>
    </xf>
    <xf numFmtId="0" fontId="2" fillId="0" borderId="27" xfId="0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0" fontId="2" fillId="5" borderId="27" xfId="0" applyFont="1" applyFill="1" applyBorder="1" applyAlignment="1">
      <alignment horizontal="center" wrapText="1"/>
    </xf>
    <xf numFmtId="0" fontId="10" fillId="8" borderId="27" xfId="0" applyFont="1" applyFill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9" fontId="1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" fillId="10" borderId="26" xfId="0" applyFont="1" applyFill="1" applyBorder="1" applyAlignment="1">
      <alignment wrapText="1"/>
    </xf>
    <xf numFmtId="0" fontId="2" fillId="11" borderId="13" xfId="0" applyFont="1" applyFill="1" applyBorder="1" applyAlignment="1">
      <alignment horizontal="center" vertical="center" wrapText="1"/>
    </xf>
    <xf numFmtId="0" fontId="3" fillId="9" borderId="14" xfId="0" applyFont="1" applyFill="1" applyBorder="1"/>
    <xf numFmtId="0" fontId="3" fillId="9" borderId="15" xfId="0" applyFont="1" applyFill="1" applyBorder="1"/>
    <xf numFmtId="0" fontId="2" fillId="11" borderId="17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vertical="center" wrapText="1"/>
    </xf>
    <xf numFmtId="0" fontId="1" fillId="11" borderId="17" xfId="0" applyFont="1" applyFill="1" applyBorder="1" applyAlignment="1">
      <alignment horizontal="center" vertical="center" wrapText="1"/>
    </xf>
    <xf numFmtId="14" fontId="6" fillId="9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C8D8-6B6B-4700-829D-86209C4BAD3D}">
  <dimension ref="A1:Z1006"/>
  <sheetViews>
    <sheetView zoomScale="53" workbookViewId="0">
      <selection activeCell="B24" sqref="B24:K24"/>
    </sheetView>
  </sheetViews>
  <sheetFormatPr defaultColWidth="14.453125" defaultRowHeight="14.5" x14ac:dyDescent="0.35"/>
  <cols>
    <col min="1" max="1" width="10" customWidth="1"/>
    <col min="2" max="2" width="17.7265625" customWidth="1"/>
    <col min="3" max="3" width="36" customWidth="1"/>
    <col min="4" max="4" width="13" customWidth="1"/>
    <col min="5" max="5" width="14.81640625" customWidth="1"/>
    <col min="6" max="6" width="14" customWidth="1"/>
    <col min="7" max="8" width="10" customWidth="1"/>
    <col min="9" max="9" width="12.26953125" customWidth="1"/>
    <col min="10" max="10" width="14.26953125" customWidth="1"/>
    <col min="11" max="11" width="23.26953125" customWidth="1"/>
    <col min="12" max="26" width="10" customWidth="1"/>
  </cols>
  <sheetData>
    <row r="1" spans="1:26" ht="14.25" customHeight="1" thickBot="1" x14ac:dyDescent="0.4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 x14ac:dyDescent="0.4">
      <c r="A2" s="1"/>
      <c r="B2" s="6"/>
      <c r="C2" s="6"/>
      <c r="D2" s="6"/>
      <c r="E2" s="6"/>
      <c r="F2" s="6"/>
      <c r="G2" s="14"/>
      <c r="H2" s="14"/>
      <c r="I2" s="14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0" customHeight="1" thickBot="1" x14ac:dyDescent="0.4">
      <c r="A3" s="7"/>
      <c r="B3" s="8" t="s">
        <v>1</v>
      </c>
      <c r="C3" s="9" t="s">
        <v>20</v>
      </c>
      <c r="D3" s="10"/>
      <c r="E3" s="11" t="s">
        <v>2</v>
      </c>
      <c r="F3" s="13"/>
      <c r="G3" s="27" t="s">
        <v>21</v>
      </c>
      <c r="H3" s="28"/>
      <c r="I3" s="29"/>
      <c r="J3" s="18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thickBot="1" x14ac:dyDescent="0.4">
      <c r="A4" s="7"/>
      <c r="B4" s="8" t="s">
        <v>3</v>
      </c>
      <c r="C4" s="12"/>
      <c r="D4" s="10"/>
      <c r="E4" s="11" t="s">
        <v>4</v>
      </c>
      <c r="F4" s="13"/>
      <c r="G4" s="30"/>
      <c r="H4" s="31"/>
      <c r="I4" s="32"/>
      <c r="J4" s="18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5" thickBot="1" x14ac:dyDescent="0.4">
      <c r="A5" s="7"/>
      <c r="B5" s="8" t="s">
        <v>5</v>
      </c>
      <c r="C5" s="33"/>
      <c r="D5" s="34"/>
      <c r="E5" s="35" t="s">
        <v>6</v>
      </c>
      <c r="F5" s="36"/>
      <c r="G5" s="37">
        <v>46124</v>
      </c>
      <c r="H5" s="38"/>
      <c r="I5" s="39"/>
      <c r="J5" s="18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thickBot="1" x14ac:dyDescent="0.4">
      <c r="A6" s="7"/>
      <c r="B6" s="40" t="s">
        <v>7</v>
      </c>
      <c r="C6" s="48"/>
      <c r="D6" s="49"/>
      <c r="E6" s="49"/>
      <c r="F6" s="49"/>
      <c r="G6" s="49"/>
      <c r="H6" s="49"/>
      <c r="I6" s="50"/>
      <c r="J6" s="18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 x14ac:dyDescent="0.4">
      <c r="A7" s="1"/>
      <c r="B7" s="5"/>
      <c r="C7" s="41"/>
      <c r="D7" s="42"/>
      <c r="E7" s="42"/>
      <c r="F7" s="42"/>
      <c r="G7" s="42"/>
      <c r="H7" s="42"/>
      <c r="I7" s="42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thickBot="1" x14ac:dyDescent="0.4">
      <c r="A8" s="1"/>
      <c r="B8" s="14"/>
      <c r="C8" s="15"/>
      <c r="D8" s="81" t="s">
        <v>8</v>
      </c>
      <c r="E8" s="82"/>
      <c r="F8" s="83"/>
      <c r="G8" s="81" t="s">
        <v>9</v>
      </c>
      <c r="H8" s="82"/>
      <c r="I8" s="83"/>
      <c r="J8" s="16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thickBot="1" x14ac:dyDescent="0.4">
      <c r="A9" s="17"/>
      <c r="B9" s="84" t="s">
        <v>10</v>
      </c>
      <c r="C9" s="84" t="s">
        <v>11</v>
      </c>
      <c r="D9" s="84" t="s">
        <v>12</v>
      </c>
      <c r="E9" s="84" t="s">
        <v>13</v>
      </c>
      <c r="F9" s="84" t="s">
        <v>14</v>
      </c>
      <c r="G9" s="84" t="s">
        <v>12</v>
      </c>
      <c r="H9" s="84" t="s">
        <v>13</v>
      </c>
      <c r="I9" s="84" t="s">
        <v>14</v>
      </c>
      <c r="J9" s="84" t="s">
        <v>15</v>
      </c>
      <c r="K9" s="85" t="s">
        <v>16</v>
      </c>
      <c r="L9" s="1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thickBot="1" x14ac:dyDescent="0.4">
      <c r="A10" s="17"/>
      <c r="B10" s="43">
        <v>1</v>
      </c>
      <c r="C10" s="44" t="s">
        <v>22</v>
      </c>
      <c r="D10" s="19">
        <v>16</v>
      </c>
      <c r="E10" s="19">
        <v>8</v>
      </c>
      <c r="F10" s="19">
        <v>0</v>
      </c>
      <c r="G10" s="19">
        <f>D10+E10</f>
        <v>24</v>
      </c>
      <c r="H10" s="19">
        <v>0</v>
      </c>
      <c r="I10" s="19">
        <v>0</v>
      </c>
      <c r="J10" s="20">
        <v>46127</v>
      </c>
      <c r="K10" s="19">
        <f>D10+E10+F10</f>
        <v>24</v>
      </c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thickBot="1" x14ac:dyDescent="0.4">
      <c r="A11" s="17"/>
      <c r="B11" s="43">
        <v>2</v>
      </c>
      <c r="C11" s="44" t="s">
        <v>17</v>
      </c>
      <c r="D11" s="19">
        <v>16</v>
      </c>
      <c r="E11" s="19">
        <v>10</v>
      </c>
      <c r="F11" s="19">
        <v>0</v>
      </c>
      <c r="G11" s="19">
        <f t="shared" ref="G11:G23" si="0">D11+E11</f>
        <v>26</v>
      </c>
      <c r="H11" s="19">
        <v>0</v>
      </c>
      <c r="I11" s="19">
        <v>0</v>
      </c>
      <c r="J11" s="20">
        <v>46127</v>
      </c>
      <c r="K11" s="19">
        <f t="shared" ref="K11:K23" si="1">D11+E11+F11</f>
        <v>26</v>
      </c>
      <c r="L11" s="1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thickBot="1" x14ac:dyDescent="0.4">
      <c r="A12" s="17"/>
      <c r="B12" s="43">
        <v>3</v>
      </c>
      <c r="C12" s="44" t="s">
        <v>23</v>
      </c>
      <c r="D12" s="19">
        <v>14</v>
      </c>
      <c r="E12" s="19">
        <v>10</v>
      </c>
      <c r="F12" s="19">
        <v>0</v>
      </c>
      <c r="G12" s="19">
        <f t="shared" si="0"/>
        <v>24</v>
      </c>
      <c r="H12" s="19">
        <v>0</v>
      </c>
      <c r="I12" s="19">
        <v>0</v>
      </c>
      <c r="J12" s="20">
        <v>46127</v>
      </c>
      <c r="K12" s="19">
        <f t="shared" si="1"/>
        <v>24</v>
      </c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thickBot="1" x14ac:dyDescent="0.4">
      <c r="A13" s="17"/>
      <c r="B13" s="43">
        <v>4</v>
      </c>
      <c r="C13" s="44" t="s">
        <v>24</v>
      </c>
      <c r="D13" s="19">
        <v>17</v>
      </c>
      <c r="E13" s="19">
        <v>7</v>
      </c>
      <c r="F13" s="19">
        <v>0</v>
      </c>
      <c r="G13" s="19">
        <f t="shared" si="0"/>
        <v>24</v>
      </c>
      <c r="H13" s="19">
        <v>0</v>
      </c>
      <c r="I13" s="19">
        <v>0</v>
      </c>
      <c r="J13" s="20">
        <v>46127</v>
      </c>
      <c r="K13" s="19">
        <f t="shared" si="1"/>
        <v>24</v>
      </c>
      <c r="L13" s="51"/>
      <c r="M13" s="51"/>
      <c r="N13" s="51"/>
      <c r="O13" s="51"/>
      <c r="P13" s="51"/>
      <c r="Q13" s="51"/>
      <c r="R13" s="51"/>
      <c r="S13" s="51"/>
      <c r="T13" s="51"/>
      <c r="U13" s="1"/>
      <c r="V13" s="1"/>
      <c r="W13" s="1"/>
      <c r="X13" s="1"/>
      <c r="Y13" s="1"/>
      <c r="Z13" s="1"/>
    </row>
    <row r="14" spans="1:26" ht="18" customHeight="1" thickBot="1" x14ac:dyDescent="0.4">
      <c r="A14" s="17"/>
      <c r="B14" s="43">
        <v>5</v>
      </c>
      <c r="C14" s="44" t="s">
        <v>25</v>
      </c>
      <c r="D14" s="19">
        <v>12</v>
      </c>
      <c r="E14" s="19">
        <v>2</v>
      </c>
      <c r="F14" s="19">
        <v>0</v>
      </c>
      <c r="G14" s="19">
        <f t="shared" si="0"/>
        <v>14</v>
      </c>
      <c r="H14" s="19">
        <v>0</v>
      </c>
      <c r="I14" s="19">
        <v>0</v>
      </c>
      <c r="J14" s="20">
        <v>46127</v>
      </c>
      <c r="K14" s="19">
        <f t="shared" si="1"/>
        <v>14</v>
      </c>
      <c r="L14" s="51"/>
      <c r="M14" s="51"/>
      <c r="N14" s="51"/>
      <c r="O14" s="51"/>
      <c r="P14" s="51"/>
      <c r="Q14" s="51"/>
      <c r="R14" s="51"/>
      <c r="S14" s="51"/>
      <c r="T14" s="51"/>
      <c r="U14" s="1"/>
      <c r="V14" s="1"/>
      <c r="W14" s="1"/>
      <c r="X14" s="1"/>
      <c r="Y14" s="1"/>
      <c r="Z14" s="1"/>
    </row>
    <row r="15" spans="1:26" ht="18" customHeight="1" thickBot="1" x14ac:dyDescent="0.4">
      <c r="A15" s="17"/>
      <c r="B15" s="43">
        <v>6</v>
      </c>
      <c r="C15" s="44" t="s">
        <v>26</v>
      </c>
      <c r="D15" s="19">
        <v>13</v>
      </c>
      <c r="E15" s="19">
        <v>6</v>
      </c>
      <c r="F15" s="19">
        <v>0</v>
      </c>
      <c r="G15" s="19">
        <f t="shared" si="0"/>
        <v>19</v>
      </c>
      <c r="H15" s="19">
        <v>0</v>
      </c>
      <c r="I15" s="19">
        <v>0</v>
      </c>
      <c r="J15" s="20">
        <v>46127</v>
      </c>
      <c r="K15" s="19">
        <f t="shared" si="1"/>
        <v>19</v>
      </c>
      <c r="L15" s="51"/>
      <c r="M15" s="51"/>
      <c r="N15" s="51"/>
      <c r="O15" s="51"/>
      <c r="P15" s="51"/>
      <c r="Q15" s="51"/>
      <c r="R15" s="51"/>
      <c r="S15" s="51"/>
      <c r="T15" s="51"/>
      <c r="U15" s="1"/>
      <c r="V15" s="1"/>
      <c r="W15" s="1"/>
      <c r="X15" s="1"/>
      <c r="Y15" s="1"/>
      <c r="Z15" s="1"/>
    </row>
    <row r="16" spans="1:26" ht="18" customHeight="1" thickBot="1" x14ac:dyDescent="0.4">
      <c r="A16" s="17"/>
      <c r="B16" s="43">
        <v>7</v>
      </c>
      <c r="C16" s="44" t="s">
        <v>27</v>
      </c>
      <c r="D16" s="19">
        <v>16</v>
      </c>
      <c r="E16" s="19">
        <v>7</v>
      </c>
      <c r="F16" s="19">
        <v>0</v>
      </c>
      <c r="G16" s="19">
        <f t="shared" si="0"/>
        <v>23</v>
      </c>
      <c r="H16" s="19">
        <v>0</v>
      </c>
      <c r="I16" s="19">
        <v>0</v>
      </c>
      <c r="J16" s="20">
        <v>46127</v>
      </c>
      <c r="K16" s="19">
        <f t="shared" si="1"/>
        <v>23</v>
      </c>
      <c r="L16" s="51"/>
      <c r="M16" s="51"/>
      <c r="N16" s="51"/>
      <c r="O16" s="51"/>
      <c r="P16" s="51"/>
      <c r="Q16" s="51"/>
      <c r="R16" s="51"/>
      <c r="S16" s="51"/>
      <c r="T16" s="51"/>
      <c r="U16" s="1"/>
      <c r="V16" s="1"/>
      <c r="W16" s="1"/>
      <c r="X16" s="1"/>
      <c r="Y16" s="1"/>
      <c r="Z16" s="1"/>
    </row>
    <row r="17" spans="1:26" ht="18" customHeight="1" thickBot="1" x14ac:dyDescent="0.4">
      <c r="A17" s="17"/>
      <c r="B17" s="43">
        <v>8</v>
      </c>
      <c r="C17" s="44" t="s">
        <v>28</v>
      </c>
      <c r="D17" s="19">
        <v>15</v>
      </c>
      <c r="E17" s="19">
        <v>9</v>
      </c>
      <c r="F17" s="19">
        <v>0</v>
      </c>
      <c r="G17" s="19">
        <f t="shared" si="0"/>
        <v>24</v>
      </c>
      <c r="H17" s="19">
        <v>0</v>
      </c>
      <c r="I17" s="19">
        <v>0</v>
      </c>
      <c r="J17" s="20">
        <v>46127</v>
      </c>
      <c r="K17" s="19">
        <f t="shared" si="1"/>
        <v>24</v>
      </c>
      <c r="U17" s="1"/>
      <c r="V17" s="1"/>
      <c r="W17" s="1"/>
      <c r="X17" s="1"/>
      <c r="Y17" s="1"/>
      <c r="Z17" s="1"/>
    </row>
    <row r="18" spans="1:26" ht="18" customHeight="1" thickBot="1" x14ac:dyDescent="0.4">
      <c r="A18" s="17"/>
      <c r="B18" s="43">
        <v>9</v>
      </c>
      <c r="C18" s="44" t="s">
        <v>29</v>
      </c>
      <c r="D18" s="19">
        <v>17</v>
      </c>
      <c r="E18" s="19">
        <v>7</v>
      </c>
      <c r="F18" s="19">
        <v>0</v>
      </c>
      <c r="G18" s="19">
        <f t="shared" si="0"/>
        <v>24</v>
      </c>
      <c r="H18" s="19">
        <v>0</v>
      </c>
      <c r="I18" s="19">
        <v>0</v>
      </c>
      <c r="J18" s="20">
        <v>46127</v>
      </c>
      <c r="K18" s="19">
        <f t="shared" si="1"/>
        <v>24</v>
      </c>
      <c r="L18" s="21"/>
      <c r="M18" s="21"/>
      <c r="N18" s="21"/>
      <c r="O18" s="21"/>
      <c r="P18" s="21"/>
      <c r="Q18" s="21"/>
      <c r="R18" s="21"/>
      <c r="S18" s="21"/>
      <c r="T18" s="21"/>
      <c r="U18" s="1"/>
      <c r="V18" s="1"/>
      <c r="W18" s="1"/>
      <c r="X18" s="1"/>
      <c r="Y18" s="1"/>
      <c r="Z18" s="1"/>
    </row>
    <row r="19" spans="1:26" ht="18" customHeight="1" thickBot="1" x14ac:dyDescent="0.4">
      <c r="A19" s="17"/>
      <c r="B19" s="43">
        <v>10</v>
      </c>
      <c r="C19" s="45" t="s">
        <v>30</v>
      </c>
      <c r="D19" s="19">
        <v>20</v>
      </c>
      <c r="E19" s="19">
        <v>4</v>
      </c>
      <c r="F19" s="19">
        <v>0</v>
      </c>
      <c r="G19" s="19">
        <f t="shared" si="0"/>
        <v>24</v>
      </c>
      <c r="H19" s="19">
        <v>0</v>
      </c>
      <c r="I19" s="19">
        <v>0</v>
      </c>
      <c r="J19" s="20">
        <v>46127</v>
      </c>
      <c r="K19" s="19">
        <f t="shared" si="1"/>
        <v>24</v>
      </c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thickBot="1" x14ac:dyDescent="0.4">
      <c r="A20" s="17"/>
      <c r="B20" s="43">
        <v>11</v>
      </c>
      <c r="C20" s="45" t="s">
        <v>31</v>
      </c>
      <c r="D20" s="52">
        <v>29</v>
      </c>
      <c r="E20" s="52">
        <v>7</v>
      </c>
      <c r="F20" s="19">
        <v>0</v>
      </c>
      <c r="G20" s="19">
        <f t="shared" si="0"/>
        <v>36</v>
      </c>
      <c r="H20" s="19">
        <v>0</v>
      </c>
      <c r="I20" s="19">
        <v>0</v>
      </c>
      <c r="J20" s="20">
        <v>46127</v>
      </c>
      <c r="K20" s="19">
        <f t="shared" si="1"/>
        <v>36</v>
      </c>
      <c r="L20" s="1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thickBot="1" x14ac:dyDescent="0.4">
      <c r="A21" s="17"/>
      <c r="B21" s="43">
        <v>12</v>
      </c>
      <c r="C21" s="45" t="s">
        <v>32</v>
      </c>
      <c r="D21" s="19">
        <v>19</v>
      </c>
      <c r="E21" s="19">
        <v>7</v>
      </c>
      <c r="F21" s="19">
        <v>0</v>
      </c>
      <c r="G21" s="19">
        <f t="shared" si="0"/>
        <v>26</v>
      </c>
      <c r="H21" s="19">
        <v>0</v>
      </c>
      <c r="I21" s="19">
        <v>0</v>
      </c>
      <c r="J21" s="20">
        <v>46127</v>
      </c>
      <c r="K21" s="19">
        <f t="shared" si="1"/>
        <v>26</v>
      </c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thickBot="1" x14ac:dyDescent="0.4">
      <c r="A22" s="17"/>
      <c r="B22" s="43">
        <v>13</v>
      </c>
      <c r="C22" s="45" t="s">
        <v>33</v>
      </c>
      <c r="D22" s="19">
        <v>24</v>
      </c>
      <c r="E22" s="19">
        <v>6</v>
      </c>
      <c r="F22" s="19">
        <v>0</v>
      </c>
      <c r="G22" s="19">
        <f t="shared" si="0"/>
        <v>30</v>
      </c>
      <c r="H22" s="19">
        <v>0</v>
      </c>
      <c r="I22" s="19">
        <v>0</v>
      </c>
      <c r="J22" s="20">
        <v>46127</v>
      </c>
      <c r="K22" s="19">
        <f t="shared" si="1"/>
        <v>30</v>
      </c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Bot="1" x14ac:dyDescent="0.4">
      <c r="A23" s="17"/>
      <c r="B23" s="43">
        <v>14</v>
      </c>
      <c r="C23" s="44" t="s">
        <v>34</v>
      </c>
      <c r="D23" s="19">
        <v>18</v>
      </c>
      <c r="E23" s="19">
        <v>6</v>
      </c>
      <c r="F23" s="19">
        <v>0</v>
      </c>
      <c r="G23" s="19">
        <f t="shared" si="0"/>
        <v>24</v>
      </c>
      <c r="H23" s="19">
        <v>0</v>
      </c>
      <c r="I23" s="19">
        <v>0</v>
      </c>
      <c r="J23" s="20">
        <v>46127</v>
      </c>
      <c r="K23" s="19">
        <f t="shared" si="1"/>
        <v>24</v>
      </c>
      <c r="L23" s="1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thickBot="1" x14ac:dyDescent="0.4">
      <c r="A24" s="17"/>
      <c r="B24" s="86"/>
      <c r="C24" s="84" t="s">
        <v>18</v>
      </c>
      <c r="D24" s="87">
        <f>SUM(D10:D23)</f>
        <v>246</v>
      </c>
      <c r="E24" s="87">
        <f t="shared" ref="E24:K24" si="2">SUM(E10:E23)</f>
        <v>96</v>
      </c>
      <c r="F24" s="87">
        <f t="shared" si="2"/>
        <v>0</v>
      </c>
      <c r="G24" s="87">
        <f t="shared" si="2"/>
        <v>342</v>
      </c>
      <c r="H24" s="87">
        <f t="shared" si="2"/>
        <v>0</v>
      </c>
      <c r="I24" s="87">
        <f t="shared" si="2"/>
        <v>0</v>
      </c>
      <c r="J24" s="88">
        <v>46127</v>
      </c>
      <c r="K24" s="87">
        <f t="shared" si="2"/>
        <v>342</v>
      </c>
      <c r="L24" s="1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thickBot="1" x14ac:dyDescent="0.4">
      <c r="A25" s="17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1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thickBot="1" x14ac:dyDescent="0.4">
      <c r="A26" s="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thickBot="1" x14ac:dyDescent="0.4">
      <c r="A27" s="1"/>
      <c r="B27" s="1"/>
      <c r="C27" s="24" t="s">
        <v>19</v>
      </c>
      <c r="D27" s="25" t="s">
        <v>8</v>
      </c>
      <c r="E27" s="26">
        <v>1</v>
      </c>
      <c r="F27" s="2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thickBot="1" x14ac:dyDescent="0.4">
      <c r="A28" s="1"/>
      <c r="B28" s="1"/>
      <c r="C28" s="1"/>
      <c r="D28" s="25" t="s">
        <v>9</v>
      </c>
      <c r="E28" s="26">
        <v>1</v>
      </c>
      <c r="F28" s="2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25" customHeight="1" x14ac:dyDescent="0.35">
      <c r="A31" s="22"/>
      <c r="B31" s="22"/>
      <c r="C31" s="22"/>
      <c r="D31" s="22"/>
      <c r="E31" s="22"/>
      <c r="F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25" customHeight="1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25" customHeight="1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25" customHeight="1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25" customHeight="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25" customHeight="1" x14ac:dyDescent="0.3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25" customHeight="1" x14ac:dyDescent="0.3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25" customHeight="1" x14ac:dyDescent="0.3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25" customHeight="1" x14ac:dyDescent="0.3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25" customHeight="1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25" customHeight="1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customHeigh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customHeight="1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customHeight="1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25" customHeight="1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25" customHeight="1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25" customHeight="1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25" customHeight="1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25" customHeight="1" x14ac:dyDescent="0.3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25" customHeight="1" x14ac:dyDescent="0.3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25" customHeight="1" x14ac:dyDescent="0.3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25" customHeight="1" x14ac:dyDescent="0.3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25" customHeight="1" x14ac:dyDescent="0.3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25" customHeight="1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25" customHeight="1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25" customHeight="1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25" customHeight="1" x14ac:dyDescent="0.3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25" customHeight="1" x14ac:dyDescent="0.3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25" customHeight="1" x14ac:dyDescent="0.3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25" customHeight="1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25" customHeight="1" x14ac:dyDescent="0.3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25" customHeight="1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25" customHeight="1" x14ac:dyDescent="0.3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25" customHeight="1" x14ac:dyDescent="0.3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25" customHeight="1" x14ac:dyDescent="0.3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25" customHeight="1" x14ac:dyDescent="0.3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25" customHeight="1" x14ac:dyDescent="0.3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25" customHeight="1" x14ac:dyDescent="0.3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25" customHeight="1" x14ac:dyDescent="0.3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25" customHeight="1" x14ac:dyDescent="0.3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25" customHeight="1" x14ac:dyDescent="0.3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25" customHeight="1" x14ac:dyDescent="0.3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25" customHeight="1" x14ac:dyDescent="0.3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25" customHeight="1" x14ac:dyDescent="0.3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25" customHeight="1" x14ac:dyDescent="0.3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 x14ac:dyDescent="0.3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25" customHeight="1" x14ac:dyDescent="0.3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25" customHeight="1" x14ac:dyDescent="0.3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25" customHeight="1" x14ac:dyDescent="0.3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25" customHeight="1" x14ac:dyDescent="0.3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25" customHeight="1" x14ac:dyDescent="0.3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25" customHeight="1" x14ac:dyDescent="0.3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25" customHeight="1" x14ac:dyDescent="0.3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25" customHeight="1" x14ac:dyDescent="0.3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25" customHeight="1" x14ac:dyDescent="0.3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25" customHeight="1" x14ac:dyDescent="0.3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25" customHeight="1" x14ac:dyDescent="0.3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25" customHeight="1" x14ac:dyDescent="0.3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25" customHeight="1" x14ac:dyDescent="0.3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25" customHeight="1" x14ac:dyDescent="0.3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25" customHeight="1" x14ac:dyDescent="0.3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25" customHeight="1" x14ac:dyDescent="0.3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25" customHeight="1" x14ac:dyDescent="0.3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25" customHeight="1" x14ac:dyDescent="0.3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25" customHeight="1" x14ac:dyDescent="0.3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25" customHeight="1" x14ac:dyDescent="0.3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25" customHeight="1" x14ac:dyDescent="0.3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25" customHeight="1" x14ac:dyDescent="0.3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25" customHeight="1" x14ac:dyDescent="0.3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25" customHeight="1" x14ac:dyDescent="0.3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25" customHeight="1" x14ac:dyDescent="0.3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25" customHeight="1" x14ac:dyDescent="0.3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25" customHeight="1" x14ac:dyDescent="0.3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25" customHeight="1" x14ac:dyDescent="0.3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25" customHeight="1" x14ac:dyDescent="0.3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25" customHeight="1" x14ac:dyDescent="0.3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25" customHeight="1" x14ac:dyDescent="0.3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25" customHeight="1" x14ac:dyDescent="0.3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25" customHeight="1" x14ac:dyDescent="0.3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25" customHeight="1" x14ac:dyDescent="0.3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25" customHeight="1" x14ac:dyDescent="0.3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25" customHeight="1" x14ac:dyDescent="0.3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25" customHeight="1" x14ac:dyDescent="0.3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25" customHeight="1" x14ac:dyDescent="0.3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25" customHeight="1" x14ac:dyDescent="0.3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25" customHeight="1" x14ac:dyDescent="0.3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25" customHeight="1" x14ac:dyDescent="0.3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25" customHeight="1" x14ac:dyDescent="0.3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25" customHeight="1" x14ac:dyDescent="0.3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25" customHeight="1" x14ac:dyDescent="0.3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25" customHeight="1" x14ac:dyDescent="0.3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25" customHeight="1" x14ac:dyDescent="0.3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25" customHeight="1" x14ac:dyDescent="0.3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25" customHeight="1" x14ac:dyDescent="0.3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25" customHeight="1" x14ac:dyDescent="0.3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25" customHeight="1" x14ac:dyDescent="0.3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25" customHeight="1" x14ac:dyDescent="0.3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25" customHeight="1" x14ac:dyDescent="0.3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25" customHeight="1" x14ac:dyDescent="0.3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25" customHeight="1" x14ac:dyDescent="0.3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25" customHeight="1" x14ac:dyDescent="0.3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25" customHeight="1" x14ac:dyDescent="0.3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 x14ac:dyDescent="0.3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25" customHeight="1" x14ac:dyDescent="0.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25" customHeight="1" x14ac:dyDescent="0.3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25" customHeight="1" x14ac:dyDescent="0.3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25" customHeight="1" x14ac:dyDescent="0.3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25" customHeight="1" x14ac:dyDescent="0.3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25" customHeight="1" x14ac:dyDescent="0.3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25" customHeight="1" x14ac:dyDescent="0.3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25" customHeight="1" x14ac:dyDescent="0.3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25" customHeight="1" x14ac:dyDescent="0.3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25" customHeight="1" x14ac:dyDescent="0.3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25" customHeight="1" x14ac:dyDescent="0.3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25" customHeight="1" x14ac:dyDescent="0.3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25" customHeight="1" x14ac:dyDescent="0.3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25" customHeight="1" x14ac:dyDescent="0.3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25" customHeight="1" x14ac:dyDescent="0.3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25" customHeight="1" x14ac:dyDescent="0.3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25" customHeight="1" x14ac:dyDescent="0.3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25" customHeight="1" x14ac:dyDescent="0.3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25" customHeight="1" x14ac:dyDescent="0.3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25" customHeight="1" x14ac:dyDescent="0.3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25" customHeight="1" x14ac:dyDescent="0.3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25" customHeight="1" x14ac:dyDescent="0.3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25" customHeight="1" x14ac:dyDescent="0.3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25" customHeight="1" x14ac:dyDescent="0.3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25" customHeight="1" x14ac:dyDescent="0.3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25" customHeight="1" x14ac:dyDescent="0.3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25" customHeight="1" x14ac:dyDescent="0.3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25" customHeight="1" x14ac:dyDescent="0.3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25" customHeight="1" x14ac:dyDescent="0.3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25" customHeight="1" x14ac:dyDescent="0.3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25" customHeight="1" x14ac:dyDescent="0.3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25" customHeight="1" x14ac:dyDescent="0.3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25" customHeight="1" x14ac:dyDescent="0.3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25" customHeight="1" x14ac:dyDescent="0.3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25" customHeight="1" x14ac:dyDescent="0.3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25" customHeight="1" x14ac:dyDescent="0.3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25" customHeight="1" x14ac:dyDescent="0.3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25" customHeight="1" x14ac:dyDescent="0.3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25" customHeight="1" x14ac:dyDescent="0.3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25" customHeight="1" x14ac:dyDescent="0.3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25" customHeight="1" x14ac:dyDescent="0.3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25" customHeight="1" x14ac:dyDescent="0.3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25" customHeight="1" x14ac:dyDescent="0.3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25" customHeight="1" x14ac:dyDescent="0.3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25" customHeight="1" x14ac:dyDescent="0.3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25" customHeight="1" x14ac:dyDescent="0.3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25" customHeight="1" x14ac:dyDescent="0.3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25" customHeight="1" x14ac:dyDescent="0.3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25" customHeight="1" x14ac:dyDescent="0.3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25" customHeight="1" x14ac:dyDescent="0.3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25" customHeight="1" x14ac:dyDescent="0.3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25" customHeight="1" x14ac:dyDescent="0.3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25" customHeight="1" x14ac:dyDescent="0.3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25" customHeight="1" x14ac:dyDescent="0.3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25" customHeight="1" x14ac:dyDescent="0.3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25" customHeight="1" x14ac:dyDescent="0.3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25" customHeight="1" x14ac:dyDescent="0.3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25" customHeight="1" x14ac:dyDescent="0.3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25" customHeight="1" x14ac:dyDescent="0.3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25" customHeight="1" x14ac:dyDescent="0.3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25" customHeight="1" x14ac:dyDescent="0.3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25" customHeight="1" x14ac:dyDescent="0.3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25" customHeight="1" x14ac:dyDescent="0.3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25" customHeight="1" x14ac:dyDescent="0.3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25" customHeight="1" x14ac:dyDescent="0.3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25" customHeight="1" x14ac:dyDescent="0.3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25" customHeight="1" x14ac:dyDescent="0.3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25" customHeight="1" x14ac:dyDescent="0.3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25" customHeight="1" x14ac:dyDescent="0.3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25" customHeight="1" x14ac:dyDescent="0.3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25" customHeight="1" x14ac:dyDescent="0.3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25" customHeight="1" x14ac:dyDescent="0.3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25" customHeight="1" x14ac:dyDescent="0.3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25" customHeight="1" x14ac:dyDescent="0.3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25" customHeight="1" x14ac:dyDescent="0.3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25" customHeight="1" x14ac:dyDescent="0.3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25" customHeight="1" x14ac:dyDescent="0.3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25" customHeight="1" x14ac:dyDescent="0.3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25" customHeight="1" x14ac:dyDescent="0.3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25" customHeight="1" x14ac:dyDescent="0.3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25" customHeight="1" x14ac:dyDescent="0.3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25" customHeight="1" x14ac:dyDescent="0.3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25" customHeight="1" x14ac:dyDescent="0.3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25" customHeight="1" x14ac:dyDescent="0.3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25" customHeight="1" x14ac:dyDescent="0.3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25" customHeight="1" x14ac:dyDescent="0.3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25" customHeight="1" x14ac:dyDescent="0.3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25" customHeight="1" x14ac:dyDescent="0.3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25" customHeight="1" x14ac:dyDescent="0.3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25" customHeight="1" x14ac:dyDescent="0.3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25" customHeight="1" x14ac:dyDescent="0.3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25" customHeight="1" x14ac:dyDescent="0.3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25" customHeight="1" x14ac:dyDescent="0.3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25" customHeight="1" x14ac:dyDescent="0.3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6.5" customHeight="1" x14ac:dyDescent="0.3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6.5" customHeight="1" x14ac:dyDescent="0.3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6.5" customHeight="1" x14ac:dyDescent="0.3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6.5" customHeight="1" x14ac:dyDescent="0.3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6.5" customHeight="1" x14ac:dyDescent="0.3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6.5" customHeight="1" x14ac:dyDescent="0.3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6.5" customHeight="1" x14ac:dyDescent="0.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6.5" customHeight="1" x14ac:dyDescent="0.3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6.5" customHeight="1" x14ac:dyDescent="0.3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6.5" customHeight="1" x14ac:dyDescent="0.3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6.5" customHeight="1" x14ac:dyDescent="0.3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6.5" customHeight="1" x14ac:dyDescent="0.3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6.5" customHeight="1" x14ac:dyDescent="0.3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6.5" customHeight="1" x14ac:dyDescent="0.3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6.5" customHeight="1" x14ac:dyDescent="0.3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6.5" customHeight="1" x14ac:dyDescent="0.3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6.5" customHeight="1" x14ac:dyDescent="0.3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6.5" customHeight="1" x14ac:dyDescent="0.3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6.5" customHeight="1" x14ac:dyDescent="0.3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6.5" customHeight="1" x14ac:dyDescent="0.3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6.5" customHeight="1" x14ac:dyDescent="0.3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6.5" customHeight="1" x14ac:dyDescent="0.3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6.5" customHeight="1" x14ac:dyDescent="0.3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6.5" customHeight="1" x14ac:dyDescent="0.3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6.5" customHeight="1" x14ac:dyDescent="0.3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6.5" customHeight="1" x14ac:dyDescent="0.3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6.5" customHeight="1" x14ac:dyDescent="0.3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6.5" customHeight="1" x14ac:dyDescent="0.3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6.5" customHeight="1" x14ac:dyDescent="0.3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6.5" customHeight="1" x14ac:dyDescent="0.3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6.5" customHeight="1" x14ac:dyDescent="0.3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6.5" customHeight="1" x14ac:dyDescent="0.3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6.5" customHeight="1" x14ac:dyDescent="0.3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6.5" customHeight="1" x14ac:dyDescent="0.3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6.5" customHeight="1" x14ac:dyDescent="0.3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6.5" customHeight="1" x14ac:dyDescent="0.3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6.5" customHeight="1" x14ac:dyDescent="0.3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6.5" customHeight="1" x14ac:dyDescent="0.3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6.5" customHeight="1" x14ac:dyDescent="0.3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6.5" customHeight="1" x14ac:dyDescent="0.3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6.5" customHeight="1" x14ac:dyDescent="0.3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6.5" customHeight="1" x14ac:dyDescent="0.3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6.5" customHeight="1" x14ac:dyDescent="0.3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6.5" customHeight="1" x14ac:dyDescent="0.3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6.5" customHeight="1" x14ac:dyDescent="0.3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6.5" customHeight="1" x14ac:dyDescent="0.3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6.5" customHeight="1" x14ac:dyDescent="0.3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6.5" customHeight="1" x14ac:dyDescent="0.3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6.5" customHeight="1" x14ac:dyDescent="0.3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6.5" customHeight="1" x14ac:dyDescent="0.3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6.5" customHeight="1" x14ac:dyDescent="0.3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6.5" customHeight="1" x14ac:dyDescent="0.3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6.5" customHeight="1" x14ac:dyDescent="0.3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6.5" customHeight="1" x14ac:dyDescent="0.3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6.5" customHeight="1" x14ac:dyDescent="0.3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6.5" customHeight="1" x14ac:dyDescent="0.3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6.5" customHeight="1" x14ac:dyDescent="0.3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6.5" customHeight="1" x14ac:dyDescent="0.3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6.5" customHeight="1" x14ac:dyDescent="0.3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6.5" customHeight="1" x14ac:dyDescent="0.3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6.5" customHeight="1" x14ac:dyDescent="0.3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6.5" customHeight="1" x14ac:dyDescent="0.3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6.5" customHeight="1" x14ac:dyDescent="0.3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6.5" customHeight="1" x14ac:dyDescent="0.3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6.5" customHeight="1" x14ac:dyDescent="0.3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6.5" customHeight="1" x14ac:dyDescent="0.3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6.5" customHeight="1" x14ac:dyDescent="0.3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6.5" customHeight="1" x14ac:dyDescent="0.3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6.5" customHeight="1" x14ac:dyDescent="0.3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6.5" customHeight="1" x14ac:dyDescent="0.3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6.5" customHeight="1" x14ac:dyDescent="0.3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6.5" customHeight="1" x14ac:dyDescent="0.3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6.5" customHeight="1" x14ac:dyDescent="0.3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6.5" customHeight="1" x14ac:dyDescent="0.3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6.5" customHeight="1" x14ac:dyDescent="0.3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6.5" customHeight="1" x14ac:dyDescent="0.3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6.5" customHeight="1" x14ac:dyDescent="0.3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6.5" customHeight="1" x14ac:dyDescent="0.3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6.5" customHeight="1" x14ac:dyDescent="0.3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6.5" customHeight="1" x14ac:dyDescent="0.3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6.5" customHeight="1" x14ac:dyDescent="0.3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6.5" customHeight="1" x14ac:dyDescent="0.3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6.5" customHeight="1" x14ac:dyDescent="0.3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6.5" customHeight="1" x14ac:dyDescent="0.3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6.5" customHeight="1" x14ac:dyDescent="0.3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6.5" customHeight="1" x14ac:dyDescent="0.3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6.5" customHeight="1" x14ac:dyDescent="0.3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6.5" customHeight="1" x14ac:dyDescent="0.3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6.5" customHeight="1" x14ac:dyDescent="0.3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6.5" customHeight="1" x14ac:dyDescent="0.3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6.5" customHeight="1" x14ac:dyDescent="0.3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6.5" customHeight="1" x14ac:dyDescent="0.3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6.5" customHeight="1" x14ac:dyDescent="0.3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6.5" customHeight="1" x14ac:dyDescent="0.3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6.5" customHeight="1" x14ac:dyDescent="0.3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6.5" customHeight="1" x14ac:dyDescent="0.3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6.5" customHeight="1" x14ac:dyDescent="0.3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6.5" customHeight="1" x14ac:dyDescent="0.3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6.5" customHeight="1" x14ac:dyDescent="0.3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6.5" customHeight="1" x14ac:dyDescent="0.3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6.5" customHeight="1" x14ac:dyDescent="0.3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6.5" customHeight="1" x14ac:dyDescent="0.3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6.5" customHeight="1" x14ac:dyDescent="0.3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6.5" customHeight="1" x14ac:dyDescent="0.3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6.5" customHeight="1" x14ac:dyDescent="0.3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6.5" customHeight="1" x14ac:dyDescent="0.3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6.5" customHeight="1" x14ac:dyDescent="0.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6.5" customHeight="1" x14ac:dyDescent="0.3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6.5" customHeight="1" x14ac:dyDescent="0.3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6.5" customHeight="1" x14ac:dyDescent="0.3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6.5" customHeight="1" x14ac:dyDescent="0.3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6.5" customHeight="1" x14ac:dyDescent="0.3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6.5" customHeight="1" x14ac:dyDescent="0.3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6.5" customHeight="1" x14ac:dyDescent="0.3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6.5" customHeight="1" x14ac:dyDescent="0.3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6.5" customHeight="1" x14ac:dyDescent="0.3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6.5" customHeight="1" x14ac:dyDescent="0.3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6.5" customHeight="1" x14ac:dyDescent="0.3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6.5" customHeight="1" x14ac:dyDescent="0.3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6.5" customHeight="1" x14ac:dyDescent="0.3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6.5" customHeight="1" x14ac:dyDescent="0.3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6.5" customHeight="1" x14ac:dyDescent="0.3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6.5" customHeight="1" x14ac:dyDescent="0.3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6.5" customHeight="1" x14ac:dyDescent="0.3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6.5" customHeight="1" x14ac:dyDescent="0.3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6.5" customHeight="1" x14ac:dyDescent="0.3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6.5" customHeight="1" x14ac:dyDescent="0.3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6.5" customHeight="1" x14ac:dyDescent="0.3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6.5" customHeight="1" x14ac:dyDescent="0.3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6.5" customHeight="1" x14ac:dyDescent="0.3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6.5" customHeight="1" x14ac:dyDescent="0.3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6.5" customHeight="1" x14ac:dyDescent="0.3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6.5" customHeight="1" x14ac:dyDescent="0.3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6.5" customHeight="1" x14ac:dyDescent="0.3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6.5" customHeight="1" x14ac:dyDescent="0.3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6.5" customHeight="1" x14ac:dyDescent="0.3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6.5" customHeight="1" x14ac:dyDescent="0.3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6.5" customHeight="1" x14ac:dyDescent="0.3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6.5" customHeight="1" x14ac:dyDescent="0.3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6.5" customHeight="1" x14ac:dyDescent="0.3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6.5" customHeight="1" x14ac:dyDescent="0.3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6.5" customHeight="1" x14ac:dyDescent="0.3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6.5" customHeight="1" x14ac:dyDescent="0.3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6.5" customHeight="1" x14ac:dyDescent="0.3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6.5" customHeight="1" x14ac:dyDescent="0.3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6.5" customHeight="1" x14ac:dyDescent="0.3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6.5" customHeight="1" x14ac:dyDescent="0.3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6.5" customHeight="1" x14ac:dyDescent="0.3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6.5" customHeight="1" x14ac:dyDescent="0.3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6.5" customHeight="1" x14ac:dyDescent="0.3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6.5" customHeight="1" x14ac:dyDescent="0.3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6.5" customHeight="1" x14ac:dyDescent="0.3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6.5" customHeight="1" x14ac:dyDescent="0.3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6.5" customHeight="1" x14ac:dyDescent="0.3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6.5" customHeight="1" x14ac:dyDescent="0.3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6.5" customHeight="1" x14ac:dyDescent="0.3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6.5" customHeight="1" x14ac:dyDescent="0.3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6.5" customHeight="1" x14ac:dyDescent="0.3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6.5" customHeight="1" x14ac:dyDescent="0.3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6.5" customHeight="1" x14ac:dyDescent="0.3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6.5" customHeight="1" x14ac:dyDescent="0.3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6.5" customHeight="1" x14ac:dyDescent="0.3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6.5" customHeight="1" x14ac:dyDescent="0.3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6.5" customHeight="1" x14ac:dyDescent="0.3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6.5" customHeight="1" x14ac:dyDescent="0.3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6.5" customHeight="1" x14ac:dyDescent="0.3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6.5" customHeight="1" x14ac:dyDescent="0.3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6.5" customHeight="1" x14ac:dyDescent="0.3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6.5" customHeight="1" x14ac:dyDescent="0.3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6.5" customHeight="1" x14ac:dyDescent="0.3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6.5" customHeight="1" x14ac:dyDescent="0.3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6.5" customHeight="1" x14ac:dyDescent="0.3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6.5" customHeight="1" x14ac:dyDescent="0.3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6.5" customHeight="1" x14ac:dyDescent="0.3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6.5" customHeight="1" x14ac:dyDescent="0.3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6.5" customHeight="1" x14ac:dyDescent="0.3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6.5" customHeight="1" x14ac:dyDescent="0.3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6.5" customHeight="1" x14ac:dyDescent="0.3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6.5" customHeight="1" x14ac:dyDescent="0.3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6.5" customHeight="1" x14ac:dyDescent="0.3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6.5" customHeight="1" x14ac:dyDescent="0.3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6.5" customHeight="1" x14ac:dyDescent="0.3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6.5" customHeight="1" x14ac:dyDescent="0.3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6.5" customHeight="1" x14ac:dyDescent="0.3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6.5" customHeight="1" x14ac:dyDescent="0.3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6.5" customHeight="1" x14ac:dyDescent="0.3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6.5" customHeight="1" x14ac:dyDescent="0.3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6.5" customHeight="1" x14ac:dyDescent="0.3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6.5" customHeight="1" x14ac:dyDescent="0.3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6.5" customHeight="1" x14ac:dyDescent="0.3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6.5" customHeight="1" x14ac:dyDescent="0.3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6.5" customHeight="1" x14ac:dyDescent="0.3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6.5" customHeight="1" x14ac:dyDescent="0.3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6.5" customHeight="1" x14ac:dyDescent="0.3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6.5" customHeight="1" x14ac:dyDescent="0.3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6.5" customHeight="1" x14ac:dyDescent="0.3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6.5" customHeight="1" x14ac:dyDescent="0.3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6.5" customHeight="1" x14ac:dyDescent="0.3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6.5" customHeight="1" x14ac:dyDescent="0.3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6.5" customHeight="1" x14ac:dyDescent="0.3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6.5" customHeight="1" x14ac:dyDescent="0.3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6.5" customHeight="1" x14ac:dyDescent="0.3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6.5" customHeight="1" x14ac:dyDescent="0.3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6.5" customHeight="1" x14ac:dyDescent="0.3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6.5" customHeight="1" x14ac:dyDescent="0.3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6.5" customHeight="1" x14ac:dyDescent="0.3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6.5" customHeight="1" x14ac:dyDescent="0.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6.5" customHeight="1" x14ac:dyDescent="0.3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6.5" customHeight="1" x14ac:dyDescent="0.3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6.5" customHeight="1" x14ac:dyDescent="0.3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6.5" customHeight="1" x14ac:dyDescent="0.3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6.5" customHeight="1" x14ac:dyDescent="0.3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6.5" customHeight="1" x14ac:dyDescent="0.3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6.5" customHeight="1" x14ac:dyDescent="0.3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6.5" customHeight="1" x14ac:dyDescent="0.3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6.5" customHeight="1" x14ac:dyDescent="0.3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6.5" customHeight="1" x14ac:dyDescent="0.3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6.5" customHeight="1" x14ac:dyDescent="0.3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6.5" customHeight="1" x14ac:dyDescent="0.3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6.5" customHeight="1" x14ac:dyDescent="0.3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6.5" customHeight="1" x14ac:dyDescent="0.3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6.5" customHeight="1" x14ac:dyDescent="0.3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6.5" customHeight="1" x14ac:dyDescent="0.3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6.5" customHeight="1" x14ac:dyDescent="0.3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6.5" customHeight="1" x14ac:dyDescent="0.3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6.5" customHeight="1" x14ac:dyDescent="0.3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6.5" customHeight="1" x14ac:dyDescent="0.3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6.5" customHeight="1" x14ac:dyDescent="0.3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6.5" customHeight="1" x14ac:dyDescent="0.3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6.5" customHeight="1" x14ac:dyDescent="0.3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6.5" customHeight="1" x14ac:dyDescent="0.3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6.5" customHeight="1" x14ac:dyDescent="0.3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6.5" customHeight="1" x14ac:dyDescent="0.3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6.5" customHeight="1" x14ac:dyDescent="0.3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6.5" customHeight="1" x14ac:dyDescent="0.3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6.5" customHeight="1" x14ac:dyDescent="0.3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6.5" customHeight="1" x14ac:dyDescent="0.3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6.5" customHeight="1" x14ac:dyDescent="0.3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6.5" customHeight="1" x14ac:dyDescent="0.3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6.5" customHeight="1" x14ac:dyDescent="0.3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6.5" customHeight="1" x14ac:dyDescent="0.3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6.5" customHeight="1" x14ac:dyDescent="0.3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6.5" customHeight="1" x14ac:dyDescent="0.3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6.5" customHeight="1" x14ac:dyDescent="0.3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6.5" customHeight="1" x14ac:dyDescent="0.3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6.5" customHeight="1" x14ac:dyDescent="0.3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6.5" customHeight="1" x14ac:dyDescent="0.3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6.5" customHeight="1" x14ac:dyDescent="0.3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6.5" customHeight="1" x14ac:dyDescent="0.3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6.5" customHeight="1" x14ac:dyDescent="0.3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6.5" customHeight="1" x14ac:dyDescent="0.3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6.5" customHeight="1" x14ac:dyDescent="0.3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6.5" customHeight="1" x14ac:dyDescent="0.3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6.5" customHeight="1" x14ac:dyDescent="0.3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6.5" customHeight="1" x14ac:dyDescent="0.3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6.5" customHeight="1" x14ac:dyDescent="0.3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6.5" customHeight="1" x14ac:dyDescent="0.3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6.5" customHeight="1" x14ac:dyDescent="0.3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6.5" customHeight="1" x14ac:dyDescent="0.3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6.5" customHeight="1" x14ac:dyDescent="0.3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6.5" customHeight="1" x14ac:dyDescent="0.3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6.5" customHeight="1" x14ac:dyDescent="0.3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6.5" customHeight="1" x14ac:dyDescent="0.3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6.5" customHeight="1" x14ac:dyDescent="0.3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6.5" customHeight="1" x14ac:dyDescent="0.3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6.5" customHeight="1" x14ac:dyDescent="0.3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6.5" customHeight="1" x14ac:dyDescent="0.3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6.5" customHeight="1" x14ac:dyDescent="0.3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6.5" customHeight="1" x14ac:dyDescent="0.3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6.5" customHeight="1" x14ac:dyDescent="0.3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6.5" customHeight="1" x14ac:dyDescent="0.3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6.5" customHeight="1" x14ac:dyDescent="0.3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6.5" customHeight="1" x14ac:dyDescent="0.3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6.5" customHeight="1" x14ac:dyDescent="0.3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6.5" customHeight="1" x14ac:dyDescent="0.3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6.5" customHeight="1" x14ac:dyDescent="0.3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6.5" customHeight="1" x14ac:dyDescent="0.3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6.5" customHeight="1" x14ac:dyDescent="0.3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6.5" customHeight="1" x14ac:dyDescent="0.3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6.5" customHeight="1" x14ac:dyDescent="0.3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6.5" customHeight="1" x14ac:dyDescent="0.3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6.5" customHeight="1" x14ac:dyDescent="0.3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6.5" customHeight="1" x14ac:dyDescent="0.3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6.5" customHeight="1" x14ac:dyDescent="0.3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6.5" customHeight="1" x14ac:dyDescent="0.3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6.5" customHeight="1" x14ac:dyDescent="0.3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6.5" customHeight="1" x14ac:dyDescent="0.3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6.5" customHeight="1" x14ac:dyDescent="0.3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6.5" customHeight="1" x14ac:dyDescent="0.3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6.5" customHeight="1" x14ac:dyDescent="0.3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6.5" customHeight="1" x14ac:dyDescent="0.3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6.5" customHeight="1" x14ac:dyDescent="0.3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6.5" customHeight="1" x14ac:dyDescent="0.3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6.5" customHeight="1" x14ac:dyDescent="0.3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6.5" customHeight="1" x14ac:dyDescent="0.3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6.5" customHeight="1" x14ac:dyDescent="0.3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6.5" customHeight="1" x14ac:dyDescent="0.3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6.5" customHeight="1" x14ac:dyDescent="0.3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6.5" customHeight="1" x14ac:dyDescent="0.3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6.5" customHeight="1" x14ac:dyDescent="0.3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6.5" customHeight="1" x14ac:dyDescent="0.3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6.5" customHeight="1" x14ac:dyDescent="0.3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6.5" customHeight="1" x14ac:dyDescent="0.3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6.5" customHeight="1" x14ac:dyDescent="0.3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6.5" customHeight="1" x14ac:dyDescent="0.3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6.5" customHeight="1" x14ac:dyDescent="0.3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6.5" customHeight="1" x14ac:dyDescent="0.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6.5" customHeight="1" x14ac:dyDescent="0.3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6.5" customHeight="1" x14ac:dyDescent="0.3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6.5" customHeight="1" x14ac:dyDescent="0.3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6.5" customHeight="1" x14ac:dyDescent="0.3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6.5" customHeight="1" x14ac:dyDescent="0.3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6.5" customHeight="1" x14ac:dyDescent="0.3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6.5" customHeight="1" x14ac:dyDescent="0.3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6.5" customHeight="1" x14ac:dyDescent="0.3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6.5" customHeight="1" x14ac:dyDescent="0.3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6.5" customHeight="1" x14ac:dyDescent="0.3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6.5" customHeight="1" x14ac:dyDescent="0.3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6.5" customHeight="1" x14ac:dyDescent="0.3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6.5" customHeight="1" x14ac:dyDescent="0.3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6.5" customHeight="1" x14ac:dyDescent="0.3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6.5" customHeight="1" x14ac:dyDescent="0.3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6.5" customHeight="1" x14ac:dyDescent="0.3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6.5" customHeight="1" x14ac:dyDescent="0.3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6.5" customHeight="1" x14ac:dyDescent="0.3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6.5" customHeight="1" x14ac:dyDescent="0.3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6.5" customHeight="1" x14ac:dyDescent="0.3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6.5" customHeight="1" x14ac:dyDescent="0.3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6.5" customHeight="1" x14ac:dyDescent="0.3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6.5" customHeight="1" x14ac:dyDescent="0.3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6.5" customHeight="1" x14ac:dyDescent="0.3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6.5" customHeight="1" x14ac:dyDescent="0.3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6.5" customHeight="1" x14ac:dyDescent="0.3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6.5" customHeight="1" x14ac:dyDescent="0.3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6.5" customHeight="1" x14ac:dyDescent="0.3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6.5" customHeight="1" x14ac:dyDescent="0.3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6.5" customHeight="1" x14ac:dyDescent="0.3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6.5" customHeight="1" x14ac:dyDescent="0.3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6.5" customHeight="1" x14ac:dyDescent="0.3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6.5" customHeight="1" x14ac:dyDescent="0.3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6.5" customHeight="1" x14ac:dyDescent="0.3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6.5" customHeight="1" x14ac:dyDescent="0.3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6.5" customHeight="1" x14ac:dyDescent="0.3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6.5" customHeight="1" x14ac:dyDescent="0.3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6.5" customHeight="1" x14ac:dyDescent="0.3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6.5" customHeight="1" x14ac:dyDescent="0.3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6.5" customHeight="1" x14ac:dyDescent="0.3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6.5" customHeight="1" x14ac:dyDescent="0.3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6.5" customHeight="1" x14ac:dyDescent="0.3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6.5" customHeight="1" x14ac:dyDescent="0.3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6.5" customHeight="1" x14ac:dyDescent="0.3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6.5" customHeight="1" x14ac:dyDescent="0.3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6.5" customHeight="1" x14ac:dyDescent="0.3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6.5" customHeight="1" x14ac:dyDescent="0.3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6.5" customHeight="1" x14ac:dyDescent="0.3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6.5" customHeight="1" x14ac:dyDescent="0.3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6.5" customHeight="1" x14ac:dyDescent="0.3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6.5" customHeight="1" x14ac:dyDescent="0.3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6.5" customHeight="1" x14ac:dyDescent="0.3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6.5" customHeight="1" x14ac:dyDescent="0.3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6.5" customHeight="1" x14ac:dyDescent="0.3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6.5" customHeight="1" x14ac:dyDescent="0.3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6.5" customHeight="1" x14ac:dyDescent="0.3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6.5" customHeight="1" x14ac:dyDescent="0.3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6.5" customHeight="1" x14ac:dyDescent="0.3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6.5" customHeight="1" x14ac:dyDescent="0.3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6.5" customHeight="1" x14ac:dyDescent="0.3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6.5" customHeight="1" x14ac:dyDescent="0.3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6.5" customHeight="1" x14ac:dyDescent="0.3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6.5" customHeight="1" x14ac:dyDescent="0.3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6.5" customHeight="1" x14ac:dyDescent="0.3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6.5" customHeight="1" x14ac:dyDescent="0.3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6.5" customHeight="1" x14ac:dyDescent="0.3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6.5" customHeight="1" x14ac:dyDescent="0.3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6.5" customHeight="1" x14ac:dyDescent="0.3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6.5" customHeight="1" x14ac:dyDescent="0.3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6.5" customHeight="1" x14ac:dyDescent="0.3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6.5" customHeight="1" x14ac:dyDescent="0.3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6.5" customHeight="1" x14ac:dyDescent="0.3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6.5" customHeight="1" x14ac:dyDescent="0.3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6.5" customHeight="1" x14ac:dyDescent="0.3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6.5" customHeight="1" x14ac:dyDescent="0.3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6.5" customHeight="1" x14ac:dyDescent="0.3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6.5" customHeight="1" x14ac:dyDescent="0.3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6.5" customHeight="1" x14ac:dyDescent="0.3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6.5" customHeight="1" x14ac:dyDescent="0.3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6.5" customHeight="1" x14ac:dyDescent="0.3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6.5" customHeight="1" x14ac:dyDescent="0.3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6.5" customHeight="1" x14ac:dyDescent="0.3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6.5" customHeight="1" x14ac:dyDescent="0.3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6.5" customHeight="1" x14ac:dyDescent="0.3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6.5" customHeight="1" x14ac:dyDescent="0.3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6.5" customHeight="1" x14ac:dyDescent="0.3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6.5" customHeight="1" x14ac:dyDescent="0.3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6.5" customHeight="1" x14ac:dyDescent="0.3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6.5" customHeight="1" x14ac:dyDescent="0.3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6.5" customHeight="1" x14ac:dyDescent="0.3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6.5" customHeight="1" x14ac:dyDescent="0.3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6.5" customHeight="1" x14ac:dyDescent="0.3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6.5" customHeight="1" x14ac:dyDescent="0.3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6.5" customHeight="1" x14ac:dyDescent="0.3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6.5" customHeight="1" x14ac:dyDescent="0.3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6.5" customHeight="1" x14ac:dyDescent="0.3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6.5" customHeight="1" x14ac:dyDescent="0.3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6.5" customHeight="1" x14ac:dyDescent="0.3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6.5" customHeight="1" x14ac:dyDescent="0.3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6.5" customHeight="1" x14ac:dyDescent="0.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6.5" customHeight="1" x14ac:dyDescent="0.3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6.5" customHeight="1" x14ac:dyDescent="0.3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6.5" customHeight="1" x14ac:dyDescent="0.3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6.5" customHeight="1" x14ac:dyDescent="0.3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6.5" customHeight="1" x14ac:dyDescent="0.3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6.5" customHeight="1" x14ac:dyDescent="0.3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6.5" customHeight="1" x14ac:dyDescent="0.3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6.5" customHeight="1" x14ac:dyDescent="0.3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6.5" customHeight="1" x14ac:dyDescent="0.3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6.5" customHeight="1" x14ac:dyDescent="0.3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6.5" customHeight="1" x14ac:dyDescent="0.3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6.5" customHeight="1" x14ac:dyDescent="0.3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6.5" customHeight="1" x14ac:dyDescent="0.3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6.5" customHeight="1" x14ac:dyDescent="0.3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6.5" customHeight="1" x14ac:dyDescent="0.3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6.5" customHeight="1" x14ac:dyDescent="0.3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6.5" customHeight="1" x14ac:dyDescent="0.3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6.5" customHeight="1" x14ac:dyDescent="0.3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6.5" customHeight="1" x14ac:dyDescent="0.3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6.5" customHeight="1" x14ac:dyDescent="0.3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6.5" customHeight="1" x14ac:dyDescent="0.3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6.5" customHeight="1" x14ac:dyDescent="0.3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6.5" customHeight="1" x14ac:dyDescent="0.3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6.5" customHeight="1" x14ac:dyDescent="0.3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6.5" customHeight="1" x14ac:dyDescent="0.3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6.5" customHeight="1" x14ac:dyDescent="0.3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6.5" customHeight="1" x14ac:dyDescent="0.3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6.5" customHeight="1" x14ac:dyDescent="0.3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6.5" customHeight="1" x14ac:dyDescent="0.3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6.5" customHeight="1" x14ac:dyDescent="0.3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6.5" customHeight="1" x14ac:dyDescent="0.3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6.5" customHeight="1" x14ac:dyDescent="0.3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6.5" customHeight="1" x14ac:dyDescent="0.3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6.5" customHeight="1" x14ac:dyDescent="0.3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6.5" customHeight="1" x14ac:dyDescent="0.3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6.5" customHeight="1" x14ac:dyDescent="0.3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6.5" customHeight="1" x14ac:dyDescent="0.3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6.5" customHeight="1" x14ac:dyDescent="0.3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6.5" customHeight="1" x14ac:dyDescent="0.3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6.5" customHeight="1" x14ac:dyDescent="0.3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6.5" customHeight="1" x14ac:dyDescent="0.3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6.5" customHeight="1" x14ac:dyDescent="0.3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6.5" customHeight="1" x14ac:dyDescent="0.3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6.5" customHeight="1" x14ac:dyDescent="0.3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6.5" customHeight="1" x14ac:dyDescent="0.3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6.5" customHeight="1" x14ac:dyDescent="0.3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6.5" customHeight="1" x14ac:dyDescent="0.3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6.5" customHeight="1" x14ac:dyDescent="0.3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6.5" customHeight="1" x14ac:dyDescent="0.3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6.5" customHeight="1" x14ac:dyDescent="0.3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6.5" customHeight="1" x14ac:dyDescent="0.3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6.5" customHeight="1" x14ac:dyDescent="0.3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6.5" customHeight="1" x14ac:dyDescent="0.3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6.5" customHeight="1" x14ac:dyDescent="0.3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6.5" customHeight="1" x14ac:dyDescent="0.3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6.5" customHeight="1" x14ac:dyDescent="0.3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6.5" customHeight="1" x14ac:dyDescent="0.3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6.5" customHeight="1" x14ac:dyDescent="0.3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6.5" customHeight="1" x14ac:dyDescent="0.3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6.5" customHeight="1" x14ac:dyDescent="0.3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6.5" customHeight="1" x14ac:dyDescent="0.3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6.5" customHeight="1" x14ac:dyDescent="0.3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6.5" customHeight="1" x14ac:dyDescent="0.3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6.5" customHeight="1" x14ac:dyDescent="0.3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6.5" customHeight="1" x14ac:dyDescent="0.3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6.5" customHeight="1" x14ac:dyDescent="0.3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6.5" customHeight="1" x14ac:dyDescent="0.3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6.5" customHeight="1" x14ac:dyDescent="0.3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6.5" customHeight="1" x14ac:dyDescent="0.3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6.5" customHeight="1" x14ac:dyDescent="0.3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6.5" customHeight="1" x14ac:dyDescent="0.3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6.5" customHeight="1" x14ac:dyDescent="0.3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6.5" customHeight="1" x14ac:dyDescent="0.3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6.5" customHeight="1" x14ac:dyDescent="0.3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6.5" customHeight="1" x14ac:dyDescent="0.3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6.5" customHeight="1" x14ac:dyDescent="0.3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6.5" customHeight="1" x14ac:dyDescent="0.3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6.5" customHeight="1" x14ac:dyDescent="0.3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6.5" customHeight="1" x14ac:dyDescent="0.3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6.5" customHeight="1" x14ac:dyDescent="0.3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6.5" customHeight="1" x14ac:dyDescent="0.3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6.5" customHeight="1" x14ac:dyDescent="0.3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6.5" customHeight="1" x14ac:dyDescent="0.3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6.5" customHeight="1" x14ac:dyDescent="0.3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6.5" customHeight="1" x14ac:dyDescent="0.3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6.5" customHeight="1" x14ac:dyDescent="0.3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6.5" customHeight="1" x14ac:dyDescent="0.3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6.5" customHeight="1" x14ac:dyDescent="0.3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6.5" customHeight="1" x14ac:dyDescent="0.3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6.5" customHeight="1" x14ac:dyDescent="0.3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6.5" customHeight="1" x14ac:dyDescent="0.3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6.5" customHeight="1" x14ac:dyDescent="0.3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6.5" customHeight="1" x14ac:dyDescent="0.3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6.5" customHeight="1" x14ac:dyDescent="0.3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6.5" customHeight="1" x14ac:dyDescent="0.3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6.5" customHeight="1" x14ac:dyDescent="0.3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6.5" customHeight="1" x14ac:dyDescent="0.3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6.5" customHeight="1" x14ac:dyDescent="0.3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6.5" customHeight="1" x14ac:dyDescent="0.3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6.5" customHeight="1" x14ac:dyDescent="0.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6.5" customHeight="1" x14ac:dyDescent="0.3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6.5" customHeight="1" x14ac:dyDescent="0.3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6.5" customHeight="1" x14ac:dyDescent="0.3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6.5" customHeight="1" x14ac:dyDescent="0.3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6.5" customHeight="1" x14ac:dyDescent="0.3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6.5" customHeight="1" x14ac:dyDescent="0.3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6.5" customHeight="1" x14ac:dyDescent="0.3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6.5" customHeight="1" x14ac:dyDescent="0.3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6.5" customHeight="1" x14ac:dyDescent="0.3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6.5" customHeight="1" x14ac:dyDescent="0.3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6.5" customHeight="1" x14ac:dyDescent="0.3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6.5" customHeight="1" x14ac:dyDescent="0.3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6.5" customHeight="1" x14ac:dyDescent="0.3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6.5" customHeight="1" x14ac:dyDescent="0.3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6.5" customHeight="1" x14ac:dyDescent="0.3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6.5" customHeight="1" x14ac:dyDescent="0.3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6.5" customHeight="1" x14ac:dyDescent="0.3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6.5" customHeight="1" x14ac:dyDescent="0.3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6.5" customHeight="1" x14ac:dyDescent="0.3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6.5" customHeight="1" x14ac:dyDescent="0.3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6.5" customHeight="1" x14ac:dyDescent="0.3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6.5" customHeight="1" x14ac:dyDescent="0.3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6.5" customHeight="1" x14ac:dyDescent="0.3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6.5" customHeight="1" x14ac:dyDescent="0.3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6.5" customHeight="1" x14ac:dyDescent="0.3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6.5" customHeight="1" x14ac:dyDescent="0.3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6.5" customHeight="1" x14ac:dyDescent="0.3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6.5" customHeight="1" x14ac:dyDescent="0.3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6.5" customHeight="1" x14ac:dyDescent="0.3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6.5" customHeight="1" x14ac:dyDescent="0.3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6.5" customHeight="1" x14ac:dyDescent="0.3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6.5" customHeight="1" x14ac:dyDescent="0.3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6.5" customHeight="1" x14ac:dyDescent="0.3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6.5" customHeight="1" x14ac:dyDescent="0.3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6.5" customHeight="1" x14ac:dyDescent="0.3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6.5" customHeight="1" x14ac:dyDescent="0.3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6.5" customHeight="1" x14ac:dyDescent="0.3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6.5" customHeight="1" x14ac:dyDescent="0.3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6.5" customHeight="1" x14ac:dyDescent="0.3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6.5" customHeight="1" x14ac:dyDescent="0.3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6.5" customHeight="1" x14ac:dyDescent="0.3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6.5" customHeight="1" x14ac:dyDescent="0.3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6.5" customHeight="1" x14ac:dyDescent="0.3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6.5" customHeight="1" x14ac:dyDescent="0.3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6.5" customHeight="1" x14ac:dyDescent="0.3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6.5" customHeight="1" x14ac:dyDescent="0.3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6.5" customHeight="1" x14ac:dyDescent="0.3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6.5" customHeight="1" x14ac:dyDescent="0.3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6.5" customHeight="1" x14ac:dyDescent="0.3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6.5" customHeight="1" x14ac:dyDescent="0.3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6.5" customHeight="1" x14ac:dyDescent="0.3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6.5" customHeight="1" x14ac:dyDescent="0.3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6.5" customHeight="1" x14ac:dyDescent="0.3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6.5" customHeight="1" x14ac:dyDescent="0.3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6.5" customHeight="1" x14ac:dyDescent="0.3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6.5" customHeight="1" x14ac:dyDescent="0.3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6.5" customHeight="1" x14ac:dyDescent="0.3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6.5" customHeight="1" x14ac:dyDescent="0.3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6.5" customHeight="1" x14ac:dyDescent="0.3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6.5" customHeight="1" x14ac:dyDescent="0.3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6.5" customHeight="1" x14ac:dyDescent="0.3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6.5" customHeight="1" x14ac:dyDescent="0.3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6.5" customHeight="1" x14ac:dyDescent="0.3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6.5" customHeight="1" x14ac:dyDescent="0.3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6.5" customHeight="1" x14ac:dyDescent="0.3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6.5" customHeight="1" x14ac:dyDescent="0.3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6.5" customHeight="1" x14ac:dyDescent="0.3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6.5" customHeight="1" x14ac:dyDescent="0.3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6.5" customHeight="1" x14ac:dyDescent="0.3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6.5" customHeight="1" x14ac:dyDescent="0.3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6.5" customHeight="1" x14ac:dyDescent="0.3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6.5" customHeight="1" x14ac:dyDescent="0.3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6.5" customHeight="1" x14ac:dyDescent="0.3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6.5" customHeight="1" x14ac:dyDescent="0.3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6.5" customHeight="1" x14ac:dyDescent="0.3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6.5" customHeight="1" x14ac:dyDescent="0.3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6.5" customHeight="1" x14ac:dyDescent="0.3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6.5" customHeight="1" x14ac:dyDescent="0.3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6.5" customHeight="1" x14ac:dyDescent="0.3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6.5" customHeight="1" x14ac:dyDescent="0.3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6.5" customHeight="1" x14ac:dyDescent="0.3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6.5" customHeight="1" x14ac:dyDescent="0.3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6.5" customHeight="1" x14ac:dyDescent="0.3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6.5" customHeight="1" x14ac:dyDescent="0.3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6.5" customHeight="1" x14ac:dyDescent="0.3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6.5" customHeight="1" x14ac:dyDescent="0.3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6.5" customHeight="1" x14ac:dyDescent="0.3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6.5" customHeight="1" x14ac:dyDescent="0.3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6.5" customHeight="1" x14ac:dyDescent="0.3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6.5" customHeight="1" x14ac:dyDescent="0.3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6.5" customHeight="1" x14ac:dyDescent="0.3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6.5" customHeight="1" x14ac:dyDescent="0.3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6.5" customHeight="1" x14ac:dyDescent="0.3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6.5" customHeight="1" x14ac:dyDescent="0.3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6.5" customHeight="1" x14ac:dyDescent="0.3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6.5" customHeight="1" x14ac:dyDescent="0.3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6.5" customHeight="1" x14ac:dyDescent="0.3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6.5" customHeight="1" x14ac:dyDescent="0.3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6.5" customHeight="1" x14ac:dyDescent="0.3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6.5" customHeight="1" x14ac:dyDescent="0.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6.5" customHeight="1" x14ac:dyDescent="0.3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6.5" customHeight="1" x14ac:dyDescent="0.3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6.5" customHeight="1" x14ac:dyDescent="0.3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6.5" customHeight="1" x14ac:dyDescent="0.3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6.5" customHeight="1" x14ac:dyDescent="0.3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6.5" customHeight="1" x14ac:dyDescent="0.3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6.5" customHeight="1" x14ac:dyDescent="0.3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6.5" customHeight="1" x14ac:dyDescent="0.3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6.5" customHeight="1" x14ac:dyDescent="0.3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6.5" customHeight="1" x14ac:dyDescent="0.3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6.5" customHeight="1" x14ac:dyDescent="0.3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6.5" customHeight="1" x14ac:dyDescent="0.3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6.5" customHeight="1" x14ac:dyDescent="0.3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6.5" customHeight="1" x14ac:dyDescent="0.3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6.5" customHeight="1" x14ac:dyDescent="0.3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6.5" customHeight="1" x14ac:dyDescent="0.3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6.5" customHeight="1" x14ac:dyDescent="0.3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6.5" customHeight="1" x14ac:dyDescent="0.3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6.5" customHeight="1" x14ac:dyDescent="0.3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6.5" customHeight="1" x14ac:dyDescent="0.3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6.5" customHeight="1" x14ac:dyDescent="0.3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6.5" customHeight="1" x14ac:dyDescent="0.3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6.5" customHeight="1" x14ac:dyDescent="0.3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6.5" customHeight="1" x14ac:dyDescent="0.3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6.5" customHeight="1" x14ac:dyDescent="0.3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6.5" customHeight="1" x14ac:dyDescent="0.3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6.5" customHeight="1" x14ac:dyDescent="0.3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6.5" customHeight="1" x14ac:dyDescent="0.3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6.5" customHeight="1" x14ac:dyDescent="0.3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6.5" customHeight="1" x14ac:dyDescent="0.3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6.5" customHeight="1" x14ac:dyDescent="0.3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6.5" customHeight="1" x14ac:dyDescent="0.3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6.5" customHeight="1" x14ac:dyDescent="0.3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6.5" customHeight="1" x14ac:dyDescent="0.3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6.5" customHeight="1" x14ac:dyDescent="0.3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6.5" customHeight="1" x14ac:dyDescent="0.3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6.5" customHeight="1" x14ac:dyDescent="0.3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6.5" customHeight="1" x14ac:dyDescent="0.3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6.5" customHeight="1" x14ac:dyDescent="0.3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6.5" customHeight="1" x14ac:dyDescent="0.3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6.5" customHeight="1" x14ac:dyDescent="0.3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6.5" customHeight="1" x14ac:dyDescent="0.3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6.5" customHeight="1" x14ac:dyDescent="0.3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6.5" customHeight="1" x14ac:dyDescent="0.3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6.5" customHeight="1" x14ac:dyDescent="0.3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6.5" customHeight="1" x14ac:dyDescent="0.3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6.5" customHeight="1" x14ac:dyDescent="0.3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6.5" customHeight="1" x14ac:dyDescent="0.3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6.5" customHeight="1" x14ac:dyDescent="0.3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6.5" customHeight="1" x14ac:dyDescent="0.3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6.5" customHeight="1" x14ac:dyDescent="0.3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6.5" customHeight="1" x14ac:dyDescent="0.3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6.5" customHeight="1" x14ac:dyDescent="0.3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6.5" customHeight="1" x14ac:dyDescent="0.3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6.5" customHeight="1" x14ac:dyDescent="0.3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6.5" customHeight="1" x14ac:dyDescent="0.3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6.5" customHeight="1" x14ac:dyDescent="0.3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6.5" customHeight="1" x14ac:dyDescent="0.3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6.5" customHeight="1" x14ac:dyDescent="0.3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6.5" customHeight="1" x14ac:dyDescent="0.3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6.5" customHeight="1" x14ac:dyDescent="0.3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6.5" customHeight="1" x14ac:dyDescent="0.3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6.5" customHeight="1" x14ac:dyDescent="0.3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6.5" customHeight="1" x14ac:dyDescent="0.3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6.5" customHeight="1" x14ac:dyDescent="0.3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6.5" customHeight="1" x14ac:dyDescent="0.3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6.5" customHeight="1" x14ac:dyDescent="0.3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6.5" customHeight="1" x14ac:dyDescent="0.3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6.5" customHeight="1" x14ac:dyDescent="0.3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6.5" customHeight="1" x14ac:dyDescent="0.3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6.5" customHeight="1" x14ac:dyDescent="0.3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6.5" customHeight="1" x14ac:dyDescent="0.3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6.5" customHeight="1" x14ac:dyDescent="0.3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6.5" customHeight="1" x14ac:dyDescent="0.3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6.5" customHeight="1" x14ac:dyDescent="0.3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6.5" customHeight="1" x14ac:dyDescent="0.3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6.5" customHeight="1" x14ac:dyDescent="0.3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6.5" customHeight="1" x14ac:dyDescent="0.3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6.5" customHeight="1" x14ac:dyDescent="0.3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6.5" customHeight="1" x14ac:dyDescent="0.3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6.5" customHeight="1" x14ac:dyDescent="0.3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6.5" customHeight="1" x14ac:dyDescent="0.3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6.5" customHeight="1" x14ac:dyDescent="0.3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6.5" customHeight="1" x14ac:dyDescent="0.3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6.5" customHeight="1" x14ac:dyDescent="0.3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6.5" customHeight="1" x14ac:dyDescent="0.3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6.5" customHeight="1" x14ac:dyDescent="0.3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6.5" customHeight="1" x14ac:dyDescent="0.3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6.5" customHeight="1" x14ac:dyDescent="0.3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6.5" customHeight="1" x14ac:dyDescent="0.3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6.5" customHeight="1" x14ac:dyDescent="0.3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6.5" customHeight="1" x14ac:dyDescent="0.3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6.5" customHeight="1" x14ac:dyDescent="0.3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6.5" customHeight="1" x14ac:dyDescent="0.3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6.5" customHeight="1" x14ac:dyDescent="0.3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6.5" customHeight="1" x14ac:dyDescent="0.3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6.5" customHeight="1" x14ac:dyDescent="0.3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6.5" customHeight="1" x14ac:dyDescent="0.3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6.5" customHeight="1" x14ac:dyDescent="0.3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6.5" customHeight="1" x14ac:dyDescent="0.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6.5" customHeight="1" x14ac:dyDescent="0.3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6.5" customHeight="1" x14ac:dyDescent="0.3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6.5" customHeight="1" x14ac:dyDescent="0.3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6.5" customHeight="1" x14ac:dyDescent="0.3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6.5" customHeight="1" x14ac:dyDescent="0.3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6.5" customHeight="1" x14ac:dyDescent="0.3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6.5" customHeight="1" x14ac:dyDescent="0.3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6.5" customHeight="1" x14ac:dyDescent="0.3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6.5" customHeight="1" x14ac:dyDescent="0.3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6.5" customHeight="1" x14ac:dyDescent="0.3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6.5" customHeight="1" x14ac:dyDescent="0.3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6.5" customHeight="1" x14ac:dyDescent="0.3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6.5" customHeight="1" x14ac:dyDescent="0.3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6.5" customHeight="1" x14ac:dyDescent="0.3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6.5" customHeight="1" x14ac:dyDescent="0.3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6.5" customHeight="1" x14ac:dyDescent="0.3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6.5" customHeight="1" x14ac:dyDescent="0.3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6.5" customHeight="1" x14ac:dyDescent="0.3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6.5" customHeight="1" x14ac:dyDescent="0.3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6.5" customHeight="1" x14ac:dyDescent="0.3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6.5" customHeight="1" x14ac:dyDescent="0.3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6.5" customHeight="1" x14ac:dyDescent="0.3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6.5" customHeight="1" x14ac:dyDescent="0.3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6.5" customHeight="1" x14ac:dyDescent="0.3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6.5" customHeight="1" x14ac:dyDescent="0.3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6.5" customHeight="1" x14ac:dyDescent="0.3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6.5" customHeight="1" x14ac:dyDescent="0.3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6.5" customHeight="1" x14ac:dyDescent="0.3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6.5" customHeight="1" x14ac:dyDescent="0.3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6.5" customHeight="1" x14ac:dyDescent="0.3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6.5" customHeight="1" x14ac:dyDescent="0.3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6.5" customHeight="1" x14ac:dyDescent="0.3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6.5" customHeight="1" x14ac:dyDescent="0.3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6.5" customHeight="1" x14ac:dyDescent="0.3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6.5" customHeight="1" x14ac:dyDescent="0.3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6.5" customHeight="1" x14ac:dyDescent="0.3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6.5" customHeight="1" x14ac:dyDescent="0.3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6.5" customHeight="1" x14ac:dyDescent="0.3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6.5" customHeight="1" x14ac:dyDescent="0.3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6.5" customHeight="1" x14ac:dyDescent="0.3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6.5" customHeight="1" x14ac:dyDescent="0.3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6.5" customHeight="1" x14ac:dyDescent="0.3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6.5" customHeight="1" x14ac:dyDescent="0.3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6.5" customHeight="1" x14ac:dyDescent="0.3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6.5" customHeight="1" x14ac:dyDescent="0.3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6.5" customHeight="1" x14ac:dyDescent="0.3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6.5" customHeight="1" x14ac:dyDescent="0.3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6.5" customHeight="1" x14ac:dyDescent="0.3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6.5" customHeight="1" x14ac:dyDescent="0.3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6.5" customHeight="1" x14ac:dyDescent="0.3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6.5" customHeight="1" x14ac:dyDescent="0.3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6.5" customHeight="1" x14ac:dyDescent="0.3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6.5" customHeight="1" x14ac:dyDescent="0.3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6.5" customHeight="1" x14ac:dyDescent="0.3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6.5" customHeight="1" x14ac:dyDescent="0.3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6.5" customHeight="1" x14ac:dyDescent="0.3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6.5" customHeight="1" x14ac:dyDescent="0.3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6.5" customHeight="1" x14ac:dyDescent="0.3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6.5" customHeight="1" x14ac:dyDescent="0.3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6.5" customHeight="1" x14ac:dyDescent="0.3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6.5" customHeight="1" x14ac:dyDescent="0.3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6.5" customHeight="1" x14ac:dyDescent="0.3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6.5" customHeight="1" x14ac:dyDescent="0.3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6.5" customHeight="1" x14ac:dyDescent="0.3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6.5" customHeight="1" x14ac:dyDescent="0.3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6.5" customHeight="1" x14ac:dyDescent="0.3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6.5" customHeight="1" x14ac:dyDescent="0.3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6.5" customHeight="1" x14ac:dyDescent="0.3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6.5" customHeight="1" x14ac:dyDescent="0.3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6.5" customHeight="1" x14ac:dyDescent="0.3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6.5" customHeight="1" x14ac:dyDescent="0.3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</sheetData>
  <mergeCells count="13">
    <mergeCell ref="C5:D5"/>
    <mergeCell ref="E5:F5"/>
    <mergeCell ref="D8:F8"/>
    <mergeCell ref="G8:I8"/>
    <mergeCell ref="G5:I5"/>
    <mergeCell ref="C6:I6"/>
    <mergeCell ref="B1:J1"/>
    <mergeCell ref="C3:D3"/>
    <mergeCell ref="E3:F3"/>
    <mergeCell ref="C4:D4"/>
    <mergeCell ref="E4:F4"/>
    <mergeCell ref="G3:I3"/>
    <mergeCell ref="G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491C-62A1-416E-8A39-92E21C6C8F59}">
  <dimension ref="A1:Z997"/>
  <sheetViews>
    <sheetView tabSelected="1" zoomScale="59" zoomScaleNormal="100" workbookViewId="0">
      <selection activeCell="G21" sqref="G21"/>
    </sheetView>
  </sheetViews>
  <sheetFormatPr defaultColWidth="14.453125" defaultRowHeight="14.5" x14ac:dyDescent="0.35"/>
  <cols>
    <col min="1" max="1" width="10" customWidth="1"/>
    <col min="2" max="2" width="17.7265625" customWidth="1"/>
    <col min="3" max="3" width="36" customWidth="1"/>
    <col min="4" max="4" width="13" customWidth="1"/>
    <col min="5" max="5" width="14.81640625" customWidth="1"/>
    <col min="6" max="6" width="14" customWidth="1"/>
    <col min="7" max="8" width="10" customWidth="1"/>
    <col min="9" max="9" width="12.26953125" customWidth="1"/>
    <col min="10" max="10" width="14.26953125" customWidth="1"/>
    <col min="11" max="11" width="23.26953125" customWidth="1"/>
    <col min="12" max="26" width="10" customWidth="1"/>
  </cols>
  <sheetData>
    <row r="1" spans="1:26" ht="14.25" customHeight="1" thickBot="1" x14ac:dyDescent="0.4">
      <c r="A1" s="1"/>
      <c r="B1" s="2" t="s">
        <v>85</v>
      </c>
      <c r="C1" s="3"/>
      <c r="D1" s="3"/>
      <c r="E1" s="3"/>
      <c r="F1" s="3"/>
      <c r="G1" s="3"/>
      <c r="H1" s="3"/>
      <c r="I1" s="3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 x14ac:dyDescent="0.4">
      <c r="A2" s="1"/>
      <c r="B2" s="6"/>
      <c r="C2" s="6"/>
      <c r="D2" s="6"/>
      <c r="E2" s="6"/>
      <c r="F2" s="6"/>
      <c r="G2" s="14"/>
      <c r="H2" s="14"/>
      <c r="I2" s="14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0" customHeight="1" thickBot="1" x14ac:dyDescent="0.4">
      <c r="A3" s="7"/>
      <c r="B3" s="8" t="s">
        <v>1</v>
      </c>
      <c r="C3" s="9" t="s">
        <v>20</v>
      </c>
      <c r="D3" s="10"/>
      <c r="E3" s="11" t="s">
        <v>2</v>
      </c>
      <c r="F3" s="13"/>
      <c r="G3" s="27" t="s">
        <v>21</v>
      </c>
      <c r="H3" s="28"/>
      <c r="I3" s="29"/>
      <c r="J3" s="18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thickBot="1" x14ac:dyDescent="0.4">
      <c r="A4" s="7"/>
      <c r="B4" s="8" t="s">
        <v>3</v>
      </c>
      <c r="C4" s="12"/>
      <c r="D4" s="10"/>
      <c r="E4" s="11" t="s">
        <v>4</v>
      </c>
      <c r="F4" s="13"/>
      <c r="G4" s="30"/>
      <c r="H4" s="31"/>
      <c r="I4" s="32"/>
      <c r="J4" s="18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thickBot="1" x14ac:dyDescent="0.4">
      <c r="A5" s="7"/>
      <c r="B5" s="8" t="s">
        <v>5</v>
      </c>
      <c r="C5" s="33"/>
      <c r="D5" s="34"/>
      <c r="E5" s="35" t="s">
        <v>6</v>
      </c>
      <c r="F5" s="36"/>
      <c r="G5" s="37">
        <v>46149</v>
      </c>
      <c r="H5" s="38"/>
      <c r="I5" s="39"/>
      <c r="J5" s="18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thickBot="1" x14ac:dyDescent="0.4">
      <c r="A6" s="7"/>
      <c r="B6" s="40" t="s">
        <v>7</v>
      </c>
      <c r="C6" s="48"/>
      <c r="D6" s="49"/>
      <c r="E6" s="49"/>
      <c r="F6" s="49"/>
      <c r="G6" s="49"/>
      <c r="H6" s="49"/>
      <c r="I6" s="50"/>
      <c r="J6" s="18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 x14ac:dyDescent="0.4">
      <c r="A7" s="1"/>
      <c r="B7" s="5"/>
      <c r="C7" s="41"/>
      <c r="D7" s="42"/>
      <c r="E7" s="42"/>
      <c r="F7" s="42"/>
      <c r="G7" s="42"/>
      <c r="H7" s="42"/>
      <c r="I7" s="42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thickBot="1" x14ac:dyDescent="0.4">
      <c r="A8" s="1"/>
      <c r="B8" s="14"/>
      <c r="C8" s="15"/>
      <c r="D8" s="81" t="s">
        <v>8</v>
      </c>
      <c r="E8" s="82"/>
      <c r="F8" s="83"/>
      <c r="G8" s="81" t="s">
        <v>9</v>
      </c>
      <c r="H8" s="82"/>
      <c r="I8" s="83"/>
      <c r="J8" s="16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thickBot="1" x14ac:dyDescent="0.4">
      <c r="A9" s="17"/>
      <c r="B9" s="84" t="s">
        <v>10</v>
      </c>
      <c r="C9" s="84" t="s">
        <v>11</v>
      </c>
      <c r="D9" s="84" t="s">
        <v>12</v>
      </c>
      <c r="E9" s="84" t="s">
        <v>13</v>
      </c>
      <c r="F9" s="84" t="s">
        <v>14</v>
      </c>
      <c r="G9" s="84" t="s">
        <v>12</v>
      </c>
      <c r="H9" s="84" t="s">
        <v>13</v>
      </c>
      <c r="I9" s="84" t="s">
        <v>14</v>
      </c>
      <c r="J9" s="84" t="s">
        <v>15</v>
      </c>
      <c r="K9" s="85" t="s">
        <v>16</v>
      </c>
      <c r="L9" s="1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thickBot="1" x14ac:dyDescent="0.4">
      <c r="A10" s="17"/>
      <c r="B10" s="43">
        <v>1</v>
      </c>
      <c r="C10" s="44" t="s">
        <v>35</v>
      </c>
      <c r="D10" s="19">
        <v>60</v>
      </c>
      <c r="E10" s="19">
        <v>4</v>
      </c>
      <c r="F10" s="19">
        <v>0</v>
      </c>
      <c r="G10" s="19">
        <f>D10+E10</f>
        <v>64</v>
      </c>
      <c r="H10" s="19">
        <v>0</v>
      </c>
      <c r="I10" s="19">
        <v>0</v>
      </c>
      <c r="J10" s="20">
        <v>46153</v>
      </c>
      <c r="K10" s="19">
        <f>D10+E10+F10</f>
        <v>64</v>
      </c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thickBot="1" x14ac:dyDescent="0.4">
      <c r="A11" s="17"/>
      <c r="B11" s="43">
        <v>2</v>
      </c>
      <c r="C11" s="44" t="s">
        <v>36</v>
      </c>
      <c r="D11" s="19">
        <v>87</v>
      </c>
      <c r="E11" s="19">
        <v>6</v>
      </c>
      <c r="F11" s="19">
        <v>0</v>
      </c>
      <c r="G11" s="19">
        <f t="shared" ref="G11:G14" si="0">D11+E11</f>
        <v>93</v>
      </c>
      <c r="H11" s="19">
        <v>0</v>
      </c>
      <c r="I11" s="19">
        <v>0</v>
      </c>
      <c r="J11" s="20">
        <v>46153</v>
      </c>
      <c r="K11" s="19">
        <f t="shared" ref="K11:K14" si="1">D11+E11+F11</f>
        <v>93</v>
      </c>
      <c r="L11" s="1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thickBot="1" x14ac:dyDescent="0.4">
      <c r="A12" s="17"/>
      <c r="B12" s="43">
        <v>3</v>
      </c>
      <c r="C12" s="44" t="s">
        <v>37</v>
      </c>
      <c r="D12" s="19">
        <v>21</v>
      </c>
      <c r="E12" s="19">
        <v>7</v>
      </c>
      <c r="F12" s="19">
        <v>0</v>
      </c>
      <c r="G12" s="19">
        <f t="shared" si="0"/>
        <v>28</v>
      </c>
      <c r="H12" s="19">
        <v>0</v>
      </c>
      <c r="I12" s="19">
        <v>0</v>
      </c>
      <c r="J12" s="20">
        <v>46153</v>
      </c>
      <c r="K12" s="19">
        <f t="shared" si="1"/>
        <v>28</v>
      </c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thickBot="1" x14ac:dyDescent="0.4">
      <c r="A13" s="17"/>
      <c r="B13" s="43">
        <v>4</v>
      </c>
      <c r="C13" s="44" t="s">
        <v>39</v>
      </c>
      <c r="D13" s="19">
        <v>13</v>
      </c>
      <c r="E13" s="19">
        <v>0</v>
      </c>
      <c r="F13" s="19">
        <v>0</v>
      </c>
      <c r="G13" s="19">
        <f t="shared" si="0"/>
        <v>13</v>
      </c>
      <c r="H13" s="19">
        <v>0</v>
      </c>
      <c r="I13" s="19">
        <v>0</v>
      </c>
      <c r="J13" s="20">
        <v>46154</v>
      </c>
      <c r="K13" s="19">
        <f t="shared" si="1"/>
        <v>13</v>
      </c>
      <c r="L13" s="51"/>
      <c r="M13" s="51"/>
      <c r="N13" s="51"/>
      <c r="O13" s="51"/>
      <c r="P13" s="51"/>
      <c r="Q13" s="51"/>
      <c r="R13" s="51"/>
      <c r="S13" s="51"/>
      <c r="T13" s="51"/>
      <c r="U13" s="1"/>
      <c r="V13" s="1"/>
      <c r="W13" s="1"/>
      <c r="X13" s="1"/>
      <c r="Y13" s="1"/>
      <c r="Z13" s="1"/>
    </row>
    <row r="14" spans="1:26" ht="17.5" customHeight="1" thickBot="1" x14ac:dyDescent="0.4">
      <c r="A14" s="17"/>
      <c r="B14" s="43">
        <v>5</v>
      </c>
      <c r="C14" s="44" t="s">
        <v>38</v>
      </c>
      <c r="D14" s="19">
        <v>22</v>
      </c>
      <c r="E14" s="19">
        <v>7</v>
      </c>
      <c r="F14" s="19">
        <v>0</v>
      </c>
      <c r="G14" s="19">
        <f t="shared" si="0"/>
        <v>29</v>
      </c>
      <c r="H14" s="19">
        <v>0</v>
      </c>
      <c r="I14" s="19">
        <v>0</v>
      </c>
      <c r="J14" s="20">
        <v>46154</v>
      </c>
      <c r="K14" s="19">
        <f t="shared" si="1"/>
        <v>29</v>
      </c>
      <c r="L14" s="51"/>
      <c r="M14" s="51"/>
      <c r="N14" s="51"/>
      <c r="O14" s="51"/>
      <c r="P14" s="51"/>
      <c r="Q14" s="51"/>
      <c r="R14" s="51"/>
      <c r="S14" s="51"/>
      <c r="T14" s="51"/>
      <c r="U14" s="1"/>
      <c r="V14" s="1"/>
      <c r="W14" s="1"/>
      <c r="X14" s="1"/>
      <c r="Y14" s="1"/>
      <c r="Z14" s="1"/>
    </row>
    <row r="15" spans="1:26" ht="18" customHeight="1" thickBot="1" x14ac:dyDescent="0.4">
      <c r="A15" s="17"/>
      <c r="B15" s="86"/>
      <c r="C15" s="84" t="s">
        <v>18</v>
      </c>
      <c r="D15" s="87">
        <f>SUM(D10:D14)</f>
        <v>203</v>
      </c>
      <c r="E15" s="87">
        <f>SUM(E10:E14)</f>
        <v>24</v>
      </c>
      <c r="F15" s="87">
        <f>SUM(F10:F14)</f>
        <v>0</v>
      </c>
      <c r="G15" s="87">
        <f>SUM(G10:G14)</f>
        <v>227</v>
      </c>
      <c r="H15" s="87">
        <f>SUM(H10:H14)</f>
        <v>0</v>
      </c>
      <c r="I15" s="87">
        <f>SUM(I10:I14)</f>
        <v>0</v>
      </c>
      <c r="J15" s="87"/>
      <c r="K15" s="87">
        <f>SUM(K10:K14)</f>
        <v>227</v>
      </c>
      <c r="L15" s="1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thickBot="1" x14ac:dyDescent="0.4">
      <c r="A16" s="17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1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thickBot="1" x14ac:dyDescent="0.4">
      <c r="A17" s="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thickBot="1" x14ac:dyDescent="0.4">
      <c r="A18" s="1"/>
      <c r="B18" s="1"/>
      <c r="C18" s="24" t="s">
        <v>19</v>
      </c>
      <c r="D18" s="25" t="s">
        <v>8</v>
      </c>
      <c r="E18" s="26">
        <v>1</v>
      </c>
      <c r="F18" s="2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thickBot="1" x14ac:dyDescent="0.4">
      <c r="A19" s="1"/>
      <c r="B19" s="1"/>
      <c r="C19" s="1"/>
      <c r="D19" s="25" t="s">
        <v>9</v>
      </c>
      <c r="E19" s="26">
        <v>1</v>
      </c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4.25" customHeight="1" x14ac:dyDescent="0.35">
      <c r="A22" s="22"/>
      <c r="B22" s="22"/>
      <c r="C22" s="22"/>
      <c r="D22" s="22"/>
      <c r="E22" s="22"/>
      <c r="F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25" customHeight="1" x14ac:dyDescent="0.3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4.25" customHeight="1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4.25" customHeight="1" x14ac:dyDescent="0.3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4.25" customHeight="1" x14ac:dyDescent="0.3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4.25" customHeight="1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4.25" customHeight="1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4.25" customHeight="1" x14ac:dyDescent="0.3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4.25" customHeight="1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25" customHeight="1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25" customHeight="1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25" customHeight="1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25" customHeight="1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25" customHeight="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25" customHeight="1" x14ac:dyDescent="0.3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25" customHeight="1" x14ac:dyDescent="0.3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25" customHeight="1" x14ac:dyDescent="0.3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25" customHeight="1" x14ac:dyDescent="0.3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25" customHeight="1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25" customHeight="1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customHeigh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customHeight="1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customHeight="1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25" customHeight="1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25" customHeight="1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25" customHeight="1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25" customHeight="1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25" customHeight="1" x14ac:dyDescent="0.3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25" customHeight="1" x14ac:dyDescent="0.3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25" customHeight="1" x14ac:dyDescent="0.3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25" customHeight="1" x14ac:dyDescent="0.3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25" customHeight="1" x14ac:dyDescent="0.3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25" customHeight="1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25" customHeight="1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25" customHeight="1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25" customHeight="1" x14ac:dyDescent="0.3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25" customHeight="1" x14ac:dyDescent="0.3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25" customHeight="1" x14ac:dyDescent="0.3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25" customHeight="1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25" customHeight="1" x14ac:dyDescent="0.3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25" customHeight="1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25" customHeight="1" x14ac:dyDescent="0.3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25" customHeight="1" x14ac:dyDescent="0.3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25" customHeight="1" x14ac:dyDescent="0.3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25" customHeight="1" x14ac:dyDescent="0.3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25" customHeight="1" x14ac:dyDescent="0.3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25" customHeight="1" x14ac:dyDescent="0.3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25" customHeight="1" x14ac:dyDescent="0.3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25" customHeight="1" x14ac:dyDescent="0.3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25" customHeight="1" x14ac:dyDescent="0.3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25" customHeight="1" x14ac:dyDescent="0.3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25" customHeight="1" x14ac:dyDescent="0.3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25" customHeight="1" x14ac:dyDescent="0.3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25" customHeight="1" x14ac:dyDescent="0.3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 x14ac:dyDescent="0.3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25" customHeight="1" x14ac:dyDescent="0.3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25" customHeight="1" x14ac:dyDescent="0.3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25" customHeight="1" x14ac:dyDescent="0.3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25" customHeight="1" x14ac:dyDescent="0.3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25" customHeight="1" x14ac:dyDescent="0.3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25" customHeight="1" x14ac:dyDescent="0.3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25" customHeight="1" x14ac:dyDescent="0.3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25" customHeight="1" x14ac:dyDescent="0.3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25" customHeight="1" x14ac:dyDescent="0.3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25" customHeight="1" x14ac:dyDescent="0.3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25" customHeight="1" x14ac:dyDescent="0.3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25" customHeight="1" x14ac:dyDescent="0.3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25" customHeight="1" x14ac:dyDescent="0.3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25" customHeight="1" x14ac:dyDescent="0.3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25" customHeight="1" x14ac:dyDescent="0.3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25" customHeight="1" x14ac:dyDescent="0.3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25" customHeight="1" x14ac:dyDescent="0.3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25" customHeight="1" x14ac:dyDescent="0.3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25" customHeight="1" x14ac:dyDescent="0.3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25" customHeight="1" x14ac:dyDescent="0.3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25" customHeight="1" x14ac:dyDescent="0.3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25" customHeight="1" x14ac:dyDescent="0.3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25" customHeight="1" x14ac:dyDescent="0.3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25" customHeight="1" x14ac:dyDescent="0.3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25" customHeight="1" x14ac:dyDescent="0.3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25" customHeight="1" x14ac:dyDescent="0.3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25" customHeight="1" x14ac:dyDescent="0.3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25" customHeight="1" x14ac:dyDescent="0.3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25" customHeight="1" x14ac:dyDescent="0.3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25" customHeight="1" x14ac:dyDescent="0.3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25" customHeight="1" x14ac:dyDescent="0.3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25" customHeight="1" x14ac:dyDescent="0.3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25" customHeight="1" x14ac:dyDescent="0.3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25" customHeight="1" x14ac:dyDescent="0.3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25" customHeight="1" x14ac:dyDescent="0.3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25" customHeight="1" x14ac:dyDescent="0.3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25" customHeight="1" x14ac:dyDescent="0.3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25" customHeight="1" x14ac:dyDescent="0.3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25" customHeight="1" x14ac:dyDescent="0.3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25" customHeight="1" x14ac:dyDescent="0.3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25" customHeight="1" x14ac:dyDescent="0.3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25" customHeight="1" x14ac:dyDescent="0.3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25" customHeight="1" x14ac:dyDescent="0.3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25" customHeight="1" x14ac:dyDescent="0.3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25" customHeight="1" x14ac:dyDescent="0.3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25" customHeight="1" x14ac:dyDescent="0.3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25" customHeight="1" x14ac:dyDescent="0.3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25" customHeight="1" x14ac:dyDescent="0.3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25" customHeight="1" x14ac:dyDescent="0.3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25" customHeight="1" x14ac:dyDescent="0.3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25" customHeight="1" x14ac:dyDescent="0.3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25" customHeight="1" x14ac:dyDescent="0.3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25" customHeight="1" x14ac:dyDescent="0.3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25" customHeight="1" x14ac:dyDescent="0.3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25" customHeight="1" x14ac:dyDescent="0.3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25" customHeight="1" x14ac:dyDescent="0.3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 x14ac:dyDescent="0.3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25" customHeight="1" x14ac:dyDescent="0.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25" customHeight="1" x14ac:dyDescent="0.3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25" customHeight="1" x14ac:dyDescent="0.3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25" customHeight="1" x14ac:dyDescent="0.3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25" customHeight="1" x14ac:dyDescent="0.3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25" customHeight="1" x14ac:dyDescent="0.3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25" customHeight="1" x14ac:dyDescent="0.3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25" customHeight="1" x14ac:dyDescent="0.3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25" customHeight="1" x14ac:dyDescent="0.3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25" customHeight="1" x14ac:dyDescent="0.3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25" customHeight="1" x14ac:dyDescent="0.3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25" customHeight="1" x14ac:dyDescent="0.3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25" customHeight="1" x14ac:dyDescent="0.3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25" customHeight="1" x14ac:dyDescent="0.3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25" customHeight="1" x14ac:dyDescent="0.3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25" customHeight="1" x14ac:dyDescent="0.3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25" customHeight="1" x14ac:dyDescent="0.3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25" customHeight="1" x14ac:dyDescent="0.3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25" customHeight="1" x14ac:dyDescent="0.3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25" customHeight="1" x14ac:dyDescent="0.3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25" customHeight="1" x14ac:dyDescent="0.3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25" customHeight="1" x14ac:dyDescent="0.3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25" customHeight="1" x14ac:dyDescent="0.3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25" customHeight="1" x14ac:dyDescent="0.3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25" customHeight="1" x14ac:dyDescent="0.3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25" customHeight="1" x14ac:dyDescent="0.3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25" customHeight="1" x14ac:dyDescent="0.3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25" customHeight="1" x14ac:dyDescent="0.3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25" customHeight="1" x14ac:dyDescent="0.3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25" customHeight="1" x14ac:dyDescent="0.3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25" customHeight="1" x14ac:dyDescent="0.3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25" customHeight="1" x14ac:dyDescent="0.3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25" customHeight="1" x14ac:dyDescent="0.3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25" customHeight="1" x14ac:dyDescent="0.3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25" customHeight="1" x14ac:dyDescent="0.3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25" customHeight="1" x14ac:dyDescent="0.3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25" customHeight="1" x14ac:dyDescent="0.3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25" customHeight="1" x14ac:dyDescent="0.3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25" customHeight="1" x14ac:dyDescent="0.3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25" customHeight="1" x14ac:dyDescent="0.3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25" customHeight="1" x14ac:dyDescent="0.3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25" customHeight="1" x14ac:dyDescent="0.3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25" customHeight="1" x14ac:dyDescent="0.3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25" customHeight="1" x14ac:dyDescent="0.3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25" customHeight="1" x14ac:dyDescent="0.3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25" customHeight="1" x14ac:dyDescent="0.3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25" customHeight="1" x14ac:dyDescent="0.3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25" customHeight="1" x14ac:dyDescent="0.3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25" customHeight="1" x14ac:dyDescent="0.3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25" customHeight="1" x14ac:dyDescent="0.3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25" customHeight="1" x14ac:dyDescent="0.3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25" customHeight="1" x14ac:dyDescent="0.3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25" customHeight="1" x14ac:dyDescent="0.3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25" customHeight="1" x14ac:dyDescent="0.3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25" customHeight="1" x14ac:dyDescent="0.3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25" customHeight="1" x14ac:dyDescent="0.3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25" customHeight="1" x14ac:dyDescent="0.3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25" customHeight="1" x14ac:dyDescent="0.3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25" customHeight="1" x14ac:dyDescent="0.3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25" customHeight="1" x14ac:dyDescent="0.3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25" customHeight="1" x14ac:dyDescent="0.3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25" customHeight="1" x14ac:dyDescent="0.3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25" customHeight="1" x14ac:dyDescent="0.3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25" customHeight="1" x14ac:dyDescent="0.3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25" customHeight="1" x14ac:dyDescent="0.3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25" customHeight="1" x14ac:dyDescent="0.3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25" customHeight="1" x14ac:dyDescent="0.3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25" customHeight="1" x14ac:dyDescent="0.3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25" customHeight="1" x14ac:dyDescent="0.3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25" customHeight="1" x14ac:dyDescent="0.3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25" customHeight="1" x14ac:dyDescent="0.3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25" customHeight="1" x14ac:dyDescent="0.3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25" customHeight="1" x14ac:dyDescent="0.3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25" customHeight="1" x14ac:dyDescent="0.3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25" customHeight="1" x14ac:dyDescent="0.3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25" customHeight="1" x14ac:dyDescent="0.3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25" customHeight="1" x14ac:dyDescent="0.3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25" customHeight="1" x14ac:dyDescent="0.3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25" customHeight="1" x14ac:dyDescent="0.3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25" customHeight="1" x14ac:dyDescent="0.3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25" customHeight="1" x14ac:dyDescent="0.3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25" customHeight="1" x14ac:dyDescent="0.3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25" customHeight="1" x14ac:dyDescent="0.3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25" customHeight="1" x14ac:dyDescent="0.3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25" customHeight="1" x14ac:dyDescent="0.3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6.5" customHeight="1" x14ac:dyDescent="0.3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6.5" customHeight="1" x14ac:dyDescent="0.3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6.5" customHeight="1" x14ac:dyDescent="0.3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6.5" customHeight="1" x14ac:dyDescent="0.3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6.5" customHeight="1" x14ac:dyDescent="0.3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6.5" customHeight="1" x14ac:dyDescent="0.3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6.5" customHeight="1" x14ac:dyDescent="0.3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6.5" customHeight="1" x14ac:dyDescent="0.3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6.5" customHeight="1" x14ac:dyDescent="0.3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6.5" customHeight="1" x14ac:dyDescent="0.3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6.5" customHeight="1" x14ac:dyDescent="0.3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6.5" customHeight="1" x14ac:dyDescent="0.3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6.5" customHeight="1" x14ac:dyDescent="0.3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6.5" customHeight="1" x14ac:dyDescent="0.3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6.5" customHeight="1" x14ac:dyDescent="0.3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6.5" customHeight="1" x14ac:dyDescent="0.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6.5" customHeight="1" x14ac:dyDescent="0.3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6.5" customHeight="1" x14ac:dyDescent="0.3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6.5" customHeight="1" x14ac:dyDescent="0.3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6.5" customHeight="1" x14ac:dyDescent="0.3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6.5" customHeight="1" x14ac:dyDescent="0.3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6.5" customHeight="1" x14ac:dyDescent="0.3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6.5" customHeight="1" x14ac:dyDescent="0.3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6.5" customHeight="1" x14ac:dyDescent="0.3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6.5" customHeight="1" x14ac:dyDescent="0.3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6.5" customHeight="1" x14ac:dyDescent="0.3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6.5" customHeight="1" x14ac:dyDescent="0.3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6.5" customHeight="1" x14ac:dyDescent="0.3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6.5" customHeight="1" x14ac:dyDescent="0.3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6.5" customHeight="1" x14ac:dyDescent="0.3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6.5" customHeight="1" x14ac:dyDescent="0.3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6.5" customHeight="1" x14ac:dyDescent="0.3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6.5" customHeight="1" x14ac:dyDescent="0.3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6.5" customHeight="1" x14ac:dyDescent="0.3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6.5" customHeight="1" x14ac:dyDescent="0.3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6.5" customHeight="1" x14ac:dyDescent="0.3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6.5" customHeight="1" x14ac:dyDescent="0.3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6.5" customHeight="1" x14ac:dyDescent="0.3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6.5" customHeight="1" x14ac:dyDescent="0.3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6.5" customHeight="1" x14ac:dyDescent="0.3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6.5" customHeight="1" x14ac:dyDescent="0.3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6.5" customHeight="1" x14ac:dyDescent="0.3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6.5" customHeight="1" x14ac:dyDescent="0.3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6.5" customHeight="1" x14ac:dyDescent="0.3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6.5" customHeight="1" x14ac:dyDescent="0.3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6.5" customHeight="1" x14ac:dyDescent="0.3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6.5" customHeight="1" x14ac:dyDescent="0.3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6.5" customHeight="1" x14ac:dyDescent="0.3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6.5" customHeight="1" x14ac:dyDescent="0.3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6.5" customHeight="1" x14ac:dyDescent="0.3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6.5" customHeight="1" x14ac:dyDescent="0.3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6.5" customHeight="1" x14ac:dyDescent="0.3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6.5" customHeight="1" x14ac:dyDescent="0.3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6.5" customHeight="1" x14ac:dyDescent="0.3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6.5" customHeight="1" x14ac:dyDescent="0.3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6.5" customHeight="1" x14ac:dyDescent="0.3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6.5" customHeight="1" x14ac:dyDescent="0.3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6.5" customHeight="1" x14ac:dyDescent="0.3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6.5" customHeight="1" x14ac:dyDescent="0.3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6.5" customHeight="1" x14ac:dyDescent="0.3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6.5" customHeight="1" x14ac:dyDescent="0.3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6.5" customHeight="1" x14ac:dyDescent="0.3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6.5" customHeight="1" x14ac:dyDescent="0.3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6.5" customHeight="1" x14ac:dyDescent="0.3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6.5" customHeight="1" x14ac:dyDescent="0.3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6.5" customHeight="1" x14ac:dyDescent="0.3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6.5" customHeight="1" x14ac:dyDescent="0.3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6.5" customHeight="1" x14ac:dyDescent="0.3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6.5" customHeight="1" x14ac:dyDescent="0.3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6.5" customHeight="1" x14ac:dyDescent="0.3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6.5" customHeight="1" x14ac:dyDescent="0.3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6.5" customHeight="1" x14ac:dyDescent="0.3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6.5" customHeight="1" x14ac:dyDescent="0.3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6.5" customHeight="1" x14ac:dyDescent="0.3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6.5" customHeight="1" x14ac:dyDescent="0.3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6.5" customHeight="1" x14ac:dyDescent="0.3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6.5" customHeight="1" x14ac:dyDescent="0.3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6.5" customHeight="1" x14ac:dyDescent="0.3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6.5" customHeight="1" x14ac:dyDescent="0.3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6.5" customHeight="1" x14ac:dyDescent="0.3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6.5" customHeight="1" x14ac:dyDescent="0.3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6.5" customHeight="1" x14ac:dyDescent="0.3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6.5" customHeight="1" x14ac:dyDescent="0.3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6.5" customHeight="1" x14ac:dyDescent="0.3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6.5" customHeight="1" x14ac:dyDescent="0.3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6.5" customHeight="1" x14ac:dyDescent="0.3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6.5" customHeight="1" x14ac:dyDescent="0.3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6.5" customHeight="1" x14ac:dyDescent="0.3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6.5" customHeight="1" x14ac:dyDescent="0.3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6.5" customHeight="1" x14ac:dyDescent="0.3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6.5" customHeight="1" x14ac:dyDescent="0.3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6.5" customHeight="1" x14ac:dyDescent="0.3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6.5" customHeight="1" x14ac:dyDescent="0.3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6.5" customHeight="1" x14ac:dyDescent="0.3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6.5" customHeight="1" x14ac:dyDescent="0.3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6.5" customHeight="1" x14ac:dyDescent="0.3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6.5" customHeight="1" x14ac:dyDescent="0.3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6.5" customHeight="1" x14ac:dyDescent="0.3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6.5" customHeight="1" x14ac:dyDescent="0.3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6.5" customHeight="1" x14ac:dyDescent="0.3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6.5" customHeight="1" x14ac:dyDescent="0.3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6.5" customHeight="1" x14ac:dyDescent="0.3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6.5" customHeight="1" x14ac:dyDescent="0.3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6.5" customHeight="1" x14ac:dyDescent="0.3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6.5" customHeight="1" x14ac:dyDescent="0.3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6.5" customHeight="1" x14ac:dyDescent="0.3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6.5" customHeight="1" x14ac:dyDescent="0.3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6.5" customHeight="1" x14ac:dyDescent="0.3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6.5" customHeight="1" x14ac:dyDescent="0.3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6.5" customHeight="1" x14ac:dyDescent="0.3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6.5" customHeight="1" x14ac:dyDescent="0.3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6.5" customHeight="1" x14ac:dyDescent="0.3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6.5" customHeight="1" x14ac:dyDescent="0.3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6.5" customHeight="1" x14ac:dyDescent="0.3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6.5" customHeight="1" x14ac:dyDescent="0.3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6.5" customHeight="1" x14ac:dyDescent="0.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6.5" customHeight="1" x14ac:dyDescent="0.3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6.5" customHeight="1" x14ac:dyDescent="0.3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6.5" customHeight="1" x14ac:dyDescent="0.3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6.5" customHeight="1" x14ac:dyDescent="0.3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6.5" customHeight="1" x14ac:dyDescent="0.3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6.5" customHeight="1" x14ac:dyDescent="0.3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6.5" customHeight="1" x14ac:dyDescent="0.3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6.5" customHeight="1" x14ac:dyDescent="0.3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6.5" customHeight="1" x14ac:dyDescent="0.3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6.5" customHeight="1" x14ac:dyDescent="0.3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6.5" customHeight="1" x14ac:dyDescent="0.3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6.5" customHeight="1" x14ac:dyDescent="0.3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6.5" customHeight="1" x14ac:dyDescent="0.3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6.5" customHeight="1" x14ac:dyDescent="0.3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6.5" customHeight="1" x14ac:dyDescent="0.3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6.5" customHeight="1" x14ac:dyDescent="0.3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6.5" customHeight="1" x14ac:dyDescent="0.3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6.5" customHeight="1" x14ac:dyDescent="0.3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6.5" customHeight="1" x14ac:dyDescent="0.3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6.5" customHeight="1" x14ac:dyDescent="0.3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6.5" customHeight="1" x14ac:dyDescent="0.3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6.5" customHeight="1" x14ac:dyDescent="0.3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6.5" customHeight="1" x14ac:dyDescent="0.3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6.5" customHeight="1" x14ac:dyDescent="0.3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6.5" customHeight="1" x14ac:dyDescent="0.3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6.5" customHeight="1" x14ac:dyDescent="0.3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6.5" customHeight="1" x14ac:dyDescent="0.3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6.5" customHeight="1" x14ac:dyDescent="0.3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6.5" customHeight="1" x14ac:dyDescent="0.3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6.5" customHeight="1" x14ac:dyDescent="0.3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6.5" customHeight="1" x14ac:dyDescent="0.3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6.5" customHeight="1" x14ac:dyDescent="0.3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6.5" customHeight="1" x14ac:dyDescent="0.3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6.5" customHeight="1" x14ac:dyDescent="0.3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6.5" customHeight="1" x14ac:dyDescent="0.3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6.5" customHeight="1" x14ac:dyDescent="0.3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6.5" customHeight="1" x14ac:dyDescent="0.3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6.5" customHeight="1" x14ac:dyDescent="0.3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6.5" customHeight="1" x14ac:dyDescent="0.3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6.5" customHeight="1" x14ac:dyDescent="0.3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6.5" customHeight="1" x14ac:dyDescent="0.3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6.5" customHeight="1" x14ac:dyDescent="0.3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6.5" customHeight="1" x14ac:dyDescent="0.3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6.5" customHeight="1" x14ac:dyDescent="0.3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6.5" customHeight="1" x14ac:dyDescent="0.3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6.5" customHeight="1" x14ac:dyDescent="0.3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6.5" customHeight="1" x14ac:dyDescent="0.3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6.5" customHeight="1" x14ac:dyDescent="0.3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6.5" customHeight="1" x14ac:dyDescent="0.3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6.5" customHeight="1" x14ac:dyDescent="0.3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6.5" customHeight="1" x14ac:dyDescent="0.3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6.5" customHeight="1" x14ac:dyDescent="0.3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6.5" customHeight="1" x14ac:dyDescent="0.3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6.5" customHeight="1" x14ac:dyDescent="0.3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6.5" customHeight="1" x14ac:dyDescent="0.3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6.5" customHeight="1" x14ac:dyDescent="0.3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6.5" customHeight="1" x14ac:dyDescent="0.3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6.5" customHeight="1" x14ac:dyDescent="0.3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6.5" customHeight="1" x14ac:dyDescent="0.3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6.5" customHeight="1" x14ac:dyDescent="0.3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6.5" customHeight="1" x14ac:dyDescent="0.3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6.5" customHeight="1" x14ac:dyDescent="0.3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6.5" customHeight="1" x14ac:dyDescent="0.3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6.5" customHeight="1" x14ac:dyDescent="0.3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6.5" customHeight="1" x14ac:dyDescent="0.3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6.5" customHeight="1" x14ac:dyDescent="0.3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6.5" customHeight="1" x14ac:dyDescent="0.3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6.5" customHeight="1" x14ac:dyDescent="0.3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6.5" customHeight="1" x14ac:dyDescent="0.3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6.5" customHeight="1" x14ac:dyDescent="0.3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6.5" customHeight="1" x14ac:dyDescent="0.3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6.5" customHeight="1" x14ac:dyDescent="0.3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6.5" customHeight="1" x14ac:dyDescent="0.3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6.5" customHeight="1" x14ac:dyDescent="0.3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6.5" customHeight="1" x14ac:dyDescent="0.3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6.5" customHeight="1" x14ac:dyDescent="0.3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6.5" customHeight="1" x14ac:dyDescent="0.3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6.5" customHeight="1" x14ac:dyDescent="0.3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6.5" customHeight="1" x14ac:dyDescent="0.3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6.5" customHeight="1" x14ac:dyDescent="0.3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6.5" customHeight="1" x14ac:dyDescent="0.3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6.5" customHeight="1" x14ac:dyDescent="0.3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6.5" customHeight="1" x14ac:dyDescent="0.3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6.5" customHeight="1" x14ac:dyDescent="0.3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6.5" customHeight="1" x14ac:dyDescent="0.3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6.5" customHeight="1" x14ac:dyDescent="0.3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6.5" customHeight="1" x14ac:dyDescent="0.3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6.5" customHeight="1" x14ac:dyDescent="0.3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6.5" customHeight="1" x14ac:dyDescent="0.3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6.5" customHeight="1" x14ac:dyDescent="0.3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6.5" customHeight="1" x14ac:dyDescent="0.3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6.5" customHeight="1" x14ac:dyDescent="0.3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6.5" customHeight="1" x14ac:dyDescent="0.3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6.5" customHeight="1" x14ac:dyDescent="0.3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6.5" customHeight="1" x14ac:dyDescent="0.3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6.5" customHeight="1" x14ac:dyDescent="0.3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6.5" customHeight="1" x14ac:dyDescent="0.3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6.5" customHeight="1" x14ac:dyDescent="0.3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6.5" customHeight="1" x14ac:dyDescent="0.3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6.5" customHeight="1" x14ac:dyDescent="0.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6.5" customHeight="1" x14ac:dyDescent="0.3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6.5" customHeight="1" x14ac:dyDescent="0.3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6.5" customHeight="1" x14ac:dyDescent="0.3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6.5" customHeight="1" x14ac:dyDescent="0.3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6.5" customHeight="1" x14ac:dyDescent="0.3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6.5" customHeight="1" x14ac:dyDescent="0.3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6.5" customHeight="1" x14ac:dyDescent="0.3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6.5" customHeight="1" x14ac:dyDescent="0.3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6.5" customHeight="1" x14ac:dyDescent="0.3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6.5" customHeight="1" x14ac:dyDescent="0.3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6.5" customHeight="1" x14ac:dyDescent="0.3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6.5" customHeight="1" x14ac:dyDescent="0.3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6.5" customHeight="1" x14ac:dyDescent="0.3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6.5" customHeight="1" x14ac:dyDescent="0.3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6.5" customHeight="1" x14ac:dyDescent="0.3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6.5" customHeight="1" x14ac:dyDescent="0.3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6.5" customHeight="1" x14ac:dyDescent="0.3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6.5" customHeight="1" x14ac:dyDescent="0.3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6.5" customHeight="1" x14ac:dyDescent="0.3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6.5" customHeight="1" x14ac:dyDescent="0.3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6.5" customHeight="1" x14ac:dyDescent="0.3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6.5" customHeight="1" x14ac:dyDescent="0.3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6.5" customHeight="1" x14ac:dyDescent="0.3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6.5" customHeight="1" x14ac:dyDescent="0.3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6.5" customHeight="1" x14ac:dyDescent="0.3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6.5" customHeight="1" x14ac:dyDescent="0.3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6.5" customHeight="1" x14ac:dyDescent="0.3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6.5" customHeight="1" x14ac:dyDescent="0.3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6.5" customHeight="1" x14ac:dyDescent="0.3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6.5" customHeight="1" x14ac:dyDescent="0.3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6.5" customHeight="1" x14ac:dyDescent="0.3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6.5" customHeight="1" x14ac:dyDescent="0.3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6.5" customHeight="1" x14ac:dyDescent="0.3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6.5" customHeight="1" x14ac:dyDescent="0.3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6.5" customHeight="1" x14ac:dyDescent="0.3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6.5" customHeight="1" x14ac:dyDescent="0.3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6.5" customHeight="1" x14ac:dyDescent="0.3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6.5" customHeight="1" x14ac:dyDescent="0.3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6.5" customHeight="1" x14ac:dyDescent="0.3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6.5" customHeight="1" x14ac:dyDescent="0.3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6.5" customHeight="1" x14ac:dyDescent="0.3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6.5" customHeight="1" x14ac:dyDescent="0.3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6.5" customHeight="1" x14ac:dyDescent="0.3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6.5" customHeight="1" x14ac:dyDescent="0.3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6.5" customHeight="1" x14ac:dyDescent="0.3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6.5" customHeight="1" x14ac:dyDescent="0.3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6.5" customHeight="1" x14ac:dyDescent="0.3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6.5" customHeight="1" x14ac:dyDescent="0.3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6.5" customHeight="1" x14ac:dyDescent="0.3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6.5" customHeight="1" x14ac:dyDescent="0.3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6.5" customHeight="1" x14ac:dyDescent="0.3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6.5" customHeight="1" x14ac:dyDescent="0.3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6.5" customHeight="1" x14ac:dyDescent="0.3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6.5" customHeight="1" x14ac:dyDescent="0.3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6.5" customHeight="1" x14ac:dyDescent="0.3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6.5" customHeight="1" x14ac:dyDescent="0.3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6.5" customHeight="1" x14ac:dyDescent="0.3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6.5" customHeight="1" x14ac:dyDescent="0.3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6.5" customHeight="1" x14ac:dyDescent="0.3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6.5" customHeight="1" x14ac:dyDescent="0.3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6.5" customHeight="1" x14ac:dyDescent="0.3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6.5" customHeight="1" x14ac:dyDescent="0.3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6.5" customHeight="1" x14ac:dyDescent="0.3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6.5" customHeight="1" x14ac:dyDescent="0.3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6.5" customHeight="1" x14ac:dyDescent="0.3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6.5" customHeight="1" x14ac:dyDescent="0.3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6.5" customHeight="1" x14ac:dyDescent="0.3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6.5" customHeight="1" x14ac:dyDescent="0.3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6.5" customHeight="1" x14ac:dyDescent="0.3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6.5" customHeight="1" x14ac:dyDescent="0.3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6.5" customHeight="1" x14ac:dyDescent="0.3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6.5" customHeight="1" x14ac:dyDescent="0.3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6.5" customHeight="1" x14ac:dyDescent="0.3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6.5" customHeight="1" x14ac:dyDescent="0.3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6.5" customHeight="1" x14ac:dyDescent="0.3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6.5" customHeight="1" x14ac:dyDescent="0.3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6.5" customHeight="1" x14ac:dyDescent="0.3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6.5" customHeight="1" x14ac:dyDescent="0.3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6.5" customHeight="1" x14ac:dyDescent="0.3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6.5" customHeight="1" x14ac:dyDescent="0.3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6.5" customHeight="1" x14ac:dyDescent="0.3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6.5" customHeight="1" x14ac:dyDescent="0.3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6.5" customHeight="1" x14ac:dyDescent="0.3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6.5" customHeight="1" x14ac:dyDescent="0.3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6.5" customHeight="1" x14ac:dyDescent="0.3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6.5" customHeight="1" x14ac:dyDescent="0.3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6.5" customHeight="1" x14ac:dyDescent="0.3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6.5" customHeight="1" x14ac:dyDescent="0.3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6.5" customHeight="1" x14ac:dyDescent="0.3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6.5" customHeight="1" x14ac:dyDescent="0.3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6.5" customHeight="1" x14ac:dyDescent="0.3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6.5" customHeight="1" x14ac:dyDescent="0.3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6.5" customHeight="1" x14ac:dyDescent="0.3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6.5" customHeight="1" x14ac:dyDescent="0.3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6.5" customHeight="1" x14ac:dyDescent="0.3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6.5" customHeight="1" x14ac:dyDescent="0.3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6.5" customHeight="1" x14ac:dyDescent="0.3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6.5" customHeight="1" x14ac:dyDescent="0.3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6.5" customHeight="1" x14ac:dyDescent="0.3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6.5" customHeight="1" x14ac:dyDescent="0.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6.5" customHeight="1" x14ac:dyDescent="0.3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6.5" customHeight="1" x14ac:dyDescent="0.3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6.5" customHeight="1" x14ac:dyDescent="0.3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6.5" customHeight="1" x14ac:dyDescent="0.3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6.5" customHeight="1" x14ac:dyDescent="0.3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6.5" customHeight="1" x14ac:dyDescent="0.3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6.5" customHeight="1" x14ac:dyDescent="0.3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6.5" customHeight="1" x14ac:dyDescent="0.3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6.5" customHeight="1" x14ac:dyDescent="0.3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6.5" customHeight="1" x14ac:dyDescent="0.3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6.5" customHeight="1" x14ac:dyDescent="0.3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6.5" customHeight="1" x14ac:dyDescent="0.3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6.5" customHeight="1" x14ac:dyDescent="0.3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6.5" customHeight="1" x14ac:dyDescent="0.3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6.5" customHeight="1" x14ac:dyDescent="0.3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6.5" customHeight="1" x14ac:dyDescent="0.3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6.5" customHeight="1" x14ac:dyDescent="0.3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6.5" customHeight="1" x14ac:dyDescent="0.3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6.5" customHeight="1" x14ac:dyDescent="0.3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6.5" customHeight="1" x14ac:dyDescent="0.3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6.5" customHeight="1" x14ac:dyDescent="0.3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6.5" customHeight="1" x14ac:dyDescent="0.3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6.5" customHeight="1" x14ac:dyDescent="0.3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6.5" customHeight="1" x14ac:dyDescent="0.3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6.5" customHeight="1" x14ac:dyDescent="0.3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6.5" customHeight="1" x14ac:dyDescent="0.3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6.5" customHeight="1" x14ac:dyDescent="0.3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6.5" customHeight="1" x14ac:dyDescent="0.3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6.5" customHeight="1" x14ac:dyDescent="0.3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6.5" customHeight="1" x14ac:dyDescent="0.3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6.5" customHeight="1" x14ac:dyDescent="0.3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6.5" customHeight="1" x14ac:dyDescent="0.3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6.5" customHeight="1" x14ac:dyDescent="0.3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6.5" customHeight="1" x14ac:dyDescent="0.3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6.5" customHeight="1" x14ac:dyDescent="0.3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6.5" customHeight="1" x14ac:dyDescent="0.3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6.5" customHeight="1" x14ac:dyDescent="0.3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6.5" customHeight="1" x14ac:dyDescent="0.3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6.5" customHeight="1" x14ac:dyDescent="0.3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6.5" customHeight="1" x14ac:dyDescent="0.3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6.5" customHeight="1" x14ac:dyDescent="0.3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6.5" customHeight="1" x14ac:dyDescent="0.3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6.5" customHeight="1" x14ac:dyDescent="0.3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6.5" customHeight="1" x14ac:dyDescent="0.3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6.5" customHeight="1" x14ac:dyDescent="0.3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6.5" customHeight="1" x14ac:dyDescent="0.3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6.5" customHeight="1" x14ac:dyDescent="0.3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6.5" customHeight="1" x14ac:dyDescent="0.3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6.5" customHeight="1" x14ac:dyDescent="0.3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6.5" customHeight="1" x14ac:dyDescent="0.3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6.5" customHeight="1" x14ac:dyDescent="0.3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6.5" customHeight="1" x14ac:dyDescent="0.3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6.5" customHeight="1" x14ac:dyDescent="0.3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6.5" customHeight="1" x14ac:dyDescent="0.3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6.5" customHeight="1" x14ac:dyDescent="0.3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6.5" customHeight="1" x14ac:dyDescent="0.3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6.5" customHeight="1" x14ac:dyDescent="0.3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6.5" customHeight="1" x14ac:dyDescent="0.3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6.5" customHeight="1" x14ac:dyDescent="0.3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6.5" customHeight="1" x14ac:dyDescent="0.3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6.5" customHeight="1" x14ac:dyDescent="0.3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6.5" customHeight="1" x14ac:dyDescent="0.3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6.5" customHeight="1" x14ac:dyDescent="0.3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6.5" customHeight="1" x14ac:dyDescent="0.3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6.5" customHeight="1" x14ac:dyDescent="0.3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6.5" customHeight="1" x14ac:dyDescent="0.3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6.5" customHeight="1" x14ac:dyDescent="0.3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6.5" customHeight="1" x14ac:dyDescent="0.3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6.5" customHeight="1" x14ac:dyDescent="0.3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6.5" customHeight="1" x14ac:dyDescent="0.3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6.5" customHeight="1" x14ac:dyDescent="0.3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6.5" customHeight="1" x14ac:dyDescent="0.3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6.5" customHeight="1" x14ac:dyDescent="0.3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6.5" customHeight="1" x14ac:dyDescent="0.3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6.5" customHeight="1" x14ac:dyDescent="0.3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6.5" customHeight="1" x14ac:dyDescent="0.3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6.5" customHeight="1" x14ac:dyDescent="0.3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6.5" customHeight="1" x14ac:dyDescent="0.3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6.5" customHeight="1" x14ac:dyDescent="0.3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6.5" customHeight="1" x14ac:dyDescent="0.3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6.5" customHeight="1" x14ac:dyDescent="0.3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6.5" customHeight="1" x14ac:dyDescent="0.3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6.5" customHeight="1" x14ac:dyDescent="0.3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6.5" customHeight="1" x14ac:dyDescent="0.3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6.5" customHeight="1" x14ac:dyDescent="0.3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6.5" customHeight="1" x14ac:dyDescent="0.3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6.5" customHeight="1" x14ac:dyDescent="0.3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6.5" customHeight="1" x14ac:dyDescent="0.3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6.5" customHeight="1" x14ac:dyDescent="0.3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6.5" customHeight="1" x14ac:dyDescent="0.3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6.5" customHeight="1" x14ac:dyDescent="0.3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6.5" customHeight="1" x14ac:dyDescent="0.3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6.5" customHeight="1" x14ac:dyDescent="0.3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6.5" customHeight="1" x14ac:dyDescent="0.3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6.5" customHeight="1" x14ac:dyDescent="0.3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6.5" customHeight="1" x14ac:dyDescent="0.3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6.5" customHeight="1" x14ac:dyDescent="0.3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6.5" customHeight="1" x14ac:dyDescent="0.3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6.5" customHeight="1" x14ac:dyDescent="0.3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6.5" customHeight="1" x14ac:dyDescent="0.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6.5" customHeight="1" x14ac:dyDescent="0.3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6.5" customHeight="1" x14ac:dyDescent="0.3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6.5" customHeight="1" x14ac:dyDescent="0.3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6.5" customHeight="1" x14ac:dyDescent="0.3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6.5" customHeight="1" x14ac:dyDescent="0.3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6.5" customHeight="1" x14ac:dyDescent="0.3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6.5" customHeight="1" x14ac:dyDescent="0.3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6.5" customHeight="1" x14ac:dyDescent="0.3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6.5" customHeight="1" x14ac:dyDescent="0.3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6.5" customHeight="1" x14ac:dyDescent="0.3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6.5" customHeight="1" x14ac:dyDescent="0.3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6.5" customHeight="1" x14ac:dyDescent="0.3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6.5" customHeight="1" x14ac:dyDescent="0.3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6.5" customHeight="1" x14ac:dyDescent="0.3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6.5" customHeight="1" x14ac:dyDescent="0.3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6.5" customHeight="1" x14ac:dyDescent="0.3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6.5" customHeight="1" x14ac:dyDescent="0.3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6.5" customHeight="1" x14ac:dyDescent="0.3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6.5" customHeight="1" x14ac:dyDescent="0.3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6.5" customHeight="1" x14ac:dyDescent="0.3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6.5" customHeight="1" x14ac:dyDescent="0.3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6.5" customHeight="1" x14ac:dyDescent="0.3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6.5" customHeight="1" x14ac:dyDescent="0.3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6.5" customHeight="1" x14ac:dyDescent="0.3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6.5" customHeight="1" x14ac:dyDescent="0.3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6.5" customHeight="1" x14ac:dyDescent="0.3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6.5" customHeight="1" x14ac:dyDescent="0.3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6.5" customHeight="1" x14ac:dyDescent="0.3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6.5" customHeight="1" x14ac:dyDescent="0.3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6.5" customHeight="1" x14ac:dyDescent="0.3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6.5" customHeight="1" x14ac:dyDescent="0.3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6.5" customHeight="1" x14ac:dyDescent="0.3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6.5" customHeight="1" x14ac:dyDescent="0.3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6.5" customHeight="1" x14ac:dyDescent="0.3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6.5" customHeight="1" x14ac:dyDescent="0.3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6.5" customHeight="1" x14ac:dyDescent="0.3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6.5" customHeight="1" x14ac:dyDescent="0.3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6.5" customHeight="1" x14ac:dyDescent="0.3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6.5" customHeight="1" x14ac:dyDescent="0.3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6.5" customHeight="1" x14ac:dyDescent="0.3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6.5" customHeight="1" x14ac:dyDescent="0.3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6.5" customHeight="1" x14ac:dyDescent="0.3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6.5" customHeight="1" x14ac:dyDescent="0.3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6.5" customHeight="1" x14ac:dyDescent="0.3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6.5" customHeight="1" x14ac:dyDescent="0.3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6.5" customHeight="1" x14ac:dyDescent="0.3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6.5" customHeight="1" x14ac:dyDescent="0.3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6.5" customHeight="1" x14ac:dyDescent="0.3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6.5" customHeight="1" x14ac:dyDescent="0.3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6.5" customHeight="1" x14ac:dyDescent="0.3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6.5" customHeight="1" x14ac:dyDescent="0.3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6.5" customHeight="1" x14ac:dyDescent="0.3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6.5" customHeight="1" x14ac:dyDescent="0.3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6.5" customHeight="1" x14ac:dyDescent="0.3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6.5" customHeight="1" x14ac:dyDescent="0.3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6.5" customHeight="1" x14ac:dyDescent="0.3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6.5" customHeight="1" x14ac:dyDescent="0.3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6.5" customHeight="1" x14ac:dyDescent="0.3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6.5" customHeight="1" x14ac:dyDescent="0.3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6.5" customHeight="1" x14ac:dyDescent="0.3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6.5" customHeight="1" x14ac:dyDescent="0.3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6.5" customHeight="1" x14ac:dyDescent="0.3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6.5" customHeight="1" x14ac:dyDescent="0.3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6.5" customHeight="1" x14ac:dyDescent="0.3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6.5" customHeight="1" x14ac:dyDescent="0.3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6.5" customHeight="1" x14ac:dyDescent="0.3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6.5" customHeight="1" x14ac:dyDescent="0.3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6.5" customHeight="1" x14ac:dyDescent="0.3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6.5" customHeight="1" x14ac:dyDescent="0.3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6.5" customHeight="1" x14ac:dyDescent="0.3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6.5" customHeight="1" x14ac:dyDescent="0.3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6.5" customHeight="1" x14ac:dyDescent="0.3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6.5" customHeight="1" x14ac:dyDescent="0.3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6.5" customHeight="1" x14ac:dyDescent="0.3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6.5" customHeight="1" x14ac:dyDescent="0.3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6.5" customHeight="1" x14ac:dyDescent="0.3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6.5" customHeight="1" x14ac:dyDescent="0.3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6.5" customHeight="1" x14ac:dyDescent="0.3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6.5" customHeight="1" x14ac:dyDescent="0.3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6.5" customHeight="1" x14ac:dyDescent="0.3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6.5" customHeight="1" x14ac:dyDescent="0.3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6.5" customHeight="1" x14ac:dyDescent="0.3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6.5" customHeight="1" x14ac:dyDescent="0.3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6.5" customHeight="1" x14ac:dyDescent="0.3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6.5" customHeight="1" x14ac:dyDescent="0.3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6.5" customHeight="1" x14ac:dyDescent="0.3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6.5" customHeight="1" x14ac:dyDescent="0.3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6.5" customHeight="1" x14ac:dyDescent="0.3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6.5" customHeight="1" x14ac:dyDescent="0.3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6.5" customHeight="1" x14ac:dyDescent="0.3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6.5" customHeight="1" x14ac:dyDescent="0.3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6.5" customHeight="1" x14ac:dyDescent="0.3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6.5" customHeight="1" x14ac:dyDescent="0.3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6.5" customHeight="1" x14ac:dyDescent="0.3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6.5" customHeight="1" x14ac:dyDescent="0.3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6.5" customHeight="1" x14ac:dyDescent="0.3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6.5" customHeight="1" x14ac:dyDescent="0.3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6.5" customHeight="1" x14ac:dyDescent="0.3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6.5" customHeight="1" x14ac:dyDescent="0.3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6.5" customHeight="1" x14ac:dyDescent="0.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6.5" customHeight="1" x14ac:dyDescent="0.3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6.5" customHeight="1" x14ac:dyDescent="0.3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6.5" customHeight="1" x14ac:dyDescent="0.3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6.5" customHeight="1" x14ac:dyDescent="0.3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6.5" customHeight="1" x14ac:dyDescent="0.3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6.5" customHeight="1" x14ac:dyDescent="0.3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6.5" customHeight="1" x14ac:dyDescent="0.3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6.5" customHeight="1" x14ac:dyDescent="0.3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6.5" customHeight="1" x14ac:dyDescent="0.3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6.5" customHeight="1" x14ac:dyDescent="0.3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6.5" customHeight="1" x14ac:dyDescent="0.3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6.5" customHeight="1" x14ac:dyDescent="0.3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6.5" customHeight="1" x14ac:dyDescent="0.3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6.5" customHeight="1" x14ac:dyDescent="0.3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6.5" customHeight="1" x14ac:dyDescent="0.3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6.5" customHeight="1" x14ac:dyDescent="0.3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6.5" customHeight="1" x14ac:dyDescent="0.3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6.5" customHeight="1" x14ac:dyDescent="0.3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6.5" customHeight="1" x14ac:dyDescent="0.3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6.5" customHeight="1" x14ac:dyDescent="0.3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6.5" customHeight="1" x14ac:dyDescent="0.3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6.5" customHeight="1" x14ac:dyDescent="0.3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6.5" customHeight="1" x14ac:dyDescent="0.3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6.5" customHeight="1" x14ac:dyDescent="0.3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6.5" customHeight="1" x14ac:dyDescent="0.3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6.5" customHeight="1" x14ac:dyDescent="0.3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6.5" customHeight="1" x14ac:dyDescent="0.3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6.5" customHeight="1" x14ac:dyDescent="0.3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6.5" customHeight="1" x14ac:dyDescent="0.3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6.5" customHeight="1" x14ac:dyDescent="0.3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6.5" customHeight="1" x14ac:dyDescent="0.3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6.5" customHeight="1" x14ac:dyDescent="0.3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6.5" customHeight="1" x14ac:dyDescent="0.3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6.5" customHeight="1" x14ac:dyDescent="0.3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6.5" customHeight="1" x14ac:dyDescent="0.3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6.5" customHeight="1" x14ac:dyDescent="0.3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6.5" customHeight="1" x14ac:dyDescent="0.3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6.5" customHeight="1" x14ac:dyDescent="0.3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6.5" customHeight="1" x14ac:dyDescent="0.3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6.5" customHeight="1" x14ac:dyDescent="0.3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6.5" customHeight="1" x14ac:dyDescent="0.3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6.5" customHeight="1" x14ac:dyDescent="0.3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6.5" customHeight="1" x14ac:dyDescent="0.3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6.5" customHeight="1" x14ac:dyDescent="0.3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6.5" customHeight="1" x14ac:dyDescent="0.3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6.5" customHeight="1" x14ac:dyDescent="0.3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6.5" customHeight="1" x14ac:dyDescent="0.3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6.5" customHeight="1" x14ac:dyDescent="0.3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6.5" customHeight="1" x14ac:dyDescent="0.3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6.5" customHeight="1" x14ac:dyDescent="0.3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6.5" customHeight="1" x14ac:dyDescent="0.3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6.5" customHeight="1" x14ac:dyDescent="0.3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6.5" customHeight="1" x14ac:dyDescent="0.3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6.5" customHeight="1" x14ac:dyDescent="0.3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6.5" customHeight="1" x14ac:dyDescent="0.3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6.5" customHeight="1" x14ac:dyDescent="0.3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6.5" customHeight="1" x14ac:dyDescent="0.3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6.5" customHeight="1" x14ac:dyDescent="0.3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6.5" customHeight="1" x14ac:dyDescent="0.3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6.5" customHeight="1" x14ac:dyDescent="0.3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6.5" customHeight="1" x14ac:dyDescent="0.3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6.5" customHeight="1" x14ac:dyDescent="0.3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6.5" customHeight="1" x14ac:dyDescent="0.3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6.5" customHeight="1" x14ac:dyDescent="0.3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6.5" customHeight="1" x14ac:dyDescent="0.3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6.5" customHeight="1" x14ac:dyDescent="0.3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6.5" customHeight="1" x14ac:dyDescent="0.3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6.5" customHeight="1" x14ac:dyDescent="0.3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6.5" customHeight="1" x14ac:dyDescent="0.3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6.5" customHeight="1" x14ac:dyDescent="0.3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6.5" customHeight="1" x14ac:dyDescent="0.3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6.5" customHeight="1" x14ac:dyDescent="0.3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6.5" customHeight="1" x14ac:dyDescent="0.3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6.5" customHeight="1" x14ac:dyDescent="0.3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6.5" customHeight="1" x14ac:dyDescent="0.3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6.5" customHeight="1" x14ac:dyDescent="0.3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6.5" customHeight="1" x14ac:dyDescent="0.3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6.5" customHeight="1" x14ac:dyDescent="0.3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6.5" customHeight="1" x14ac:dyDescent="0.3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6.5" customHeight="1" x14ac:dyDescent="0.3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6.5" customHeight="1" x14ac:dyDescent="0.3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6.5" customHeight="1" x14ac:dyDescent="0.3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6.5" customHeight="1" x14ac:dyDescent="0.3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6.5" customHeight="1" x14ac:dyDescent="0.3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6.5" customHeight="1" x14ac:dyDescent="0.3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6.5" customHeight="1" x14ac:dyDescent="0.3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6.5" customHeight="1" x14ac:dyDescent="0.3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6.5" customHeight="1" x14ac:dyDescent="0.3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6.5" customHeight="1" x14ac:dyDescent="0.3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6.5" customHeight="1" x14ac:dyDescent="0.3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6.5" customHeight="1" x14ac:dyDescent="0.3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6.5" customHeight="1" x14ac:dyDescent="0.3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6.5" customHeight="1" x14ac:dyDescent="0.3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6.5" customHeight="1" x14ac:dyDescent="0.3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6.5" customHeight="1" x14ac:dyDescent="0.3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6.5" customHeight="1" x14ac:dyDescent="0.3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6.5" customHeight="1" x14ac:dyDescent="0.3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6.5" customHeight="1" x14ac:dyDescent="0.3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6.5" customHeight="1" x14ac:dyDescent="0.3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6.5" customHeight="1" x14ac:dyDescent="0.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6.5" customHeight="1" x14ac:dyDescent="0.3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6.5" customHeight="1" x14ac:dyDescent="0.3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6.5" customHeight="1" x14ac:dyDescent="0.3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6.5" customHeight="1" x14ac:dyDescent="0.3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6.5" customHeight="1" x14ac:dyDescent="0.3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6.5" customHeight="1" x14ac:dyDescent="0.3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6.5" customHeight="1" x14ac:dyDescent="0.3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6.5" customHeight="1" x14ac:dyDescent="0.3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6.5" customHeight="1" x14ac:dyDescent="0.3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6.5" customHeight="1" x14ac:dyDescent="0.3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6.5" customHeight="1" x14ac:dyDescent="0.3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6.5" customHeight="1" x14ac:dyDescent="0.3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6.5" customHeight="1" x14ac:dyDescent="0.3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6.5" customHeight="1" x14ac:dyDescent="0.3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6.5" customHeight="1" x14ac:dyDescent="0.3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6.5" customHeight="1" x14ac:dyDescent="0.3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6.5" customHeight="1" x14ac:dyDescent="0.3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6.5" customHeight="1" x14ac:dyDescent="0.3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6.5" customHeight="1" x14ac:dyDescent="0.3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6.5" customHeight="1" x14ac:dyDescent="0.3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6.5" customHeight="1" x14ac:dyDescent="0.3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6.5" customHeight="1" x14ac:dyDescent="0.3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6.5" customHeight="1" x14ac:dyDescent="0.3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6.5" customHeight="1" x14ac:dyDescent="0.3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6.5" customHeight="1" x14ac:dyDescent="0.3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6.5" customHeight="1" x14ac:dyDescent="0.3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6.5" customHeight="1" x14ac:dyDescent="0.3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6.5" customHeight="1" x14ac:dyDescent="0.3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6.5" customHeight="1" x14ac:dyDescent="0.3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6.5" customHeight="1" x14ac:dyDescent="0.3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6.5" customHeight="1" x14ac:dyDescent="0.3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6.5" customHeight="1" x14ac:dyDescent="0.3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6.5" customHeight="1" x14ac:dyDescent="0.3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6.5" customHeight="1" x14ac:dyDescent="0.3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6.5" customHeight="1" x14ac:dyDescent="0.3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6.5" customHeight="1" x14ac:dyDescent="0.3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6.5" customHeight="1" x14ac:dyDescent="0.3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6.5" customHeight="1" x14ac:dyDescent="0.3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6.5" customHeight="1" x14ac:dyDescent="0.3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6.5" customHeight="1" x14ac:dyDescent="0.3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6.5" customHeight="1" x14ac:dyDescent="0.3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6.5" customHeight="1" x14ac:dyDescent="0.3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6.5" customHeight="1" x14ac:dyDescent="0.3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6.5" customHeight="1" x14ac:dyDescent="0.3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6.5" customHeight="1" x14ac:dyDescent="0.3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6.5" customHeight="1" x14ac:dyDescent="0.3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6.5" customHeight="1" x14ac:dyDescent="0.3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6.5" customHeight="1" x14ac:dyDescent="0.3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6.5" customHeight="1" x14ac:dyDescent="0.3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6.5" customHeight="1" x14ac:dyDescent="0.3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6.5" customHeight="1" x14ac:dyDescent="0.3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6.5" customHeight="1" x14ac:dyDescent="0.3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6.5" customHeight="1" x14ac:dyDescent="0.3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6.5" customHeight="1" x14ac:dyDescent="0.3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6.5" customHeight="1" x14ac:dyDescent="0.3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6.5" customHeight="1" x14ac:dyDescent="0.3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6.5" customHeight="1" x14ac:dyDescent="0.3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6.5" customHeight="1" x14ac:dyDescent="0.3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6.5" customHeight="1" x14ac:dyDescent="0.3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6.5" customHeight="1" x14ac:dyDescent="0.3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6.5" customHeight="1" x14ac:dyDescent="0.3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6.5" customHeight="1" x14ac:dyDescent="0.3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6.5" customHeight="1" x14ac:dyDescent="0.3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6.5" customHeight="1" x14ac:dyDescent="0.3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6.5" customHeight="1" x14ac:dyDescent="0.3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6.5" customHeight="1" x14ac:dyDescent="0.3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6.5" customHeight="1" x14ac:dyDescent="0.3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6.5" customHeight="1" x14ac:dyDescent="0.3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6.5" customHeight="1" x14ac:dyDescent="0.3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6.5" customHeight="1" x14ac:dyDescent="0.3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6.5" customHeight="1" x14ac:dyDescent="0.3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6.5" customHeight="1" x14ac:dyDescent="0.3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6.5" customHeight="1" x14ac:dyDescent="0.3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6.5" customHeight="1" x14ac:dyDescent="0.3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6.5" customHeight="1" x14ac:dyDescent="0.3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6.5" customHeight="1" x14ac:dyDescent="0.3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6.5" customHeight="1" x14ac:dyDescent="0.3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6.5" customHeight="1" x14ac:dyDescent="0.3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6.5" customHeight="1" x14ac:dyDescent="0.3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6.5" customHeight="1" x14ac:dyDescent="0.3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6.5" customHeight="1" x14ac:dyDescent="0.3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6.5" customHeight="1" x14ac:dyDescent="0.3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6.5" customHeight="1" x14ac:dyDescent="0.3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6.5" customHeight="1" x14ac:dyDescent="0.3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6.5" customHeight="1" x14ac:dyDescent="0.3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6.5" customHeight="1" x14ac:dyDescent="0.3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6.5" customHeight="1" x14ac:dyDescent="0.3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6.5" customHeight="1" x14ac:dyDescent="0.3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6.5" customHeight="1" x14ac:dyDescent="0.3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6.5" customHeight="1" x14ac:dyDescent="0.3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6.5" customHeight="1" x14ac:dyDescent="0.3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6.5" customHeight="1" x14ac:dyDescent="0.3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6.5" customHeight="1" x14ac:dyDescent="0.3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6.5" customHeight="1" x14ac:dyDescent="0.3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6.5" customHeight="1" x14ac:dyDescent="0.3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6.5" customHeight="1" x14ac:dyDescent="0.3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6.5" customHeight="1" x14ac:dyDescent="0.3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6.5" customHeight="1" x14ac:dyDescent="0.3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6.5" customHeight="1" x14ac:dyDescent="0.3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6.5" customHeight="1" x14ac:dyDescent="0.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6.5" customHeight="1" x14ac:dyDescent="0.3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6.5" customHeight="1" x14ac:dyDescent="0.3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6.5" customHeight="1" x14ac:dyDescent="0.3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6.5" customHeight="1" x14ac:dyDescent="0.3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6.5" customHeight="1" x14ac:dyDescent="0.3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6.5" customHeight="1" x14ac:dyDescent="0.3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6.5" customHeight="1" x14ac:dyDescent="0.3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6.5" customHeight="1" x14ac:dyDescent="0.3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6.5" customHeight="1" x14ac:dyDescent="0.3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6.5" customHeight="1" x14ac:dyDescent="0.3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6.5" customHeight="1" x14ac:dyDescent="0.3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6.5" customHeight="1" x14ac:dyDescent="0.3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6.5" customHeight="1" x14ac:dyDescent="0.3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6.5" customHeight="1" x14ac:dyDescent="0.3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6.5" customHeight="1" x14ac:dyDescent="0.3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6.5" customHeight="1" x14ac:dyDescent="0.3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6.5" customHeight="1" x14ac:dyDescent="0.3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6.5" customHeight="1" x14ac:dyDescent="0.3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6.5" customHeight="1" x14ac:dyDescent="0.3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6.5" customHeight="1" x14ac:dyDescent="0.3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6.5" customHeight="1" x14ac:dyDescent="0.3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6.5" customHeight="1" x14ac:dyDescent="0.3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6.5" customHeight="1" x14ac:dyDescent="0.3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6.5" customHeight="1" x14ac:dyDescent="0.3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6.5" customHeight="1" x14ac:dyDescent="0.3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6.5" customHeight="1" x14ac:dyDescent="0.3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6.5" customHeight="1" x14ac:dyDescent="0.3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6.5" customHeight="1" x14ac:dyDescent="0.3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6.5" customHeight="1" x14ac:dyDescent="0.3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6.5" customHeight="1" x14ac:dyDescent="0.3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6.5" customHeight="1" x14ac:dyDescent="0.3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6.5" customHeight="1" x14ac:dyDescent="0.3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6.5" customHeight="1" x14ac:dyDescent="0.3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6.5" customHeight="1" x14ac:dyDescent="0.3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6.5" customHeight="1" x14ac:dyDescent="0.3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6.5" customHeight="1" x14ac:dyDescent="0.3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6.5" customHeight="1" x14ac:dyDescent="0.3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6.5" customHeight="1" x14ac:dyDescent="0.3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6.5" customHeight="1" x14ac:dyDescent="0.3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6.5" customHeight="1" x14ac:dyDescent="0.3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6.5" customHeight="1" x14ac:dyDescent="0.3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6.5" customHeight="1" x14ac:dyDescent="0.3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6.5" customHeight="1" x14ac:dyDescent="0.3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6.5" customHeight="1" x14ac:dyDescent="0.3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6.5" customHeight="1" x14ac:dyDescent="0.3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6.5" customHeight="1" x14ac:dyDescent="0.3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6.5" customHeight="1" x14ac:dyDescent="0.3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6.5" customHeight="1" x14ac:dyDescent="0.3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6.5" customHeight="1" x14ac:dyDescent="0.3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6.5" customHeight="1" x14ac:dyDescent="0.3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6.5" customHeight="1" x14ac:dyDescent="0.3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6.5" customHeight="1" x14ac:dyDescent="0.3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6.5" customHeight="1" x14ac:dyDescent="0.3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6.5" customHeight="1" x14ac:dyDescent="0.3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6.5" customHeight="1" x14ac:dyDescent="0.3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6.5" customHeight="1" x14ac:dyDescent="0.3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6.5" customHeight="1" x14ac:dyDescent="0.3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6.5" customHeight="1" x14ac:dyDescent="0.3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6.5" customHeight="1" x14ac:dyDescent="0.3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6.5" customHeight="1" x14ac:dyDescent="0.3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6.5" customHeight="1" x14ac:dyDescent="0.3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6.5" customHeight="1" x14ac:dyDescent="0.3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</sheetData>
  <mergeCells count="13">
    <mergeCell ref="C5:D5"/>
    <mergeCell ref="E5:F5"/>
    <mergeCell ref="G5:I5"/>
    <mergeCell ref="C6:I6"/>
    <mergeCell ref="D8:F8"/>
    <mergeCell ref="G8:I8"/>
    <mergeCell ref="B1:J1"/>
    <mergeCell ref="C3:D3"/>
    <mergeCell ref="E3:F3"/>
    <mergeCell ref="G3:I3"/>
    <mergeCell ref="C4:D4"/>
    <mergeCell ref="E4:F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41DB-94DE-46A5-A64A-C929FB9F40F3}">
  <dimension ref="B1:H34"/>
  <sheetViews>
    <sheetView zoomScale="73" workbookViewId="0">
      <selection activeCell="C8" sqref="B6:C13"/>
    </sheetView>
  </sheetViews>
  <sheetFormatPr defaultRowHeight="14.5" x14ac:dyDescent="0.35"/>
  <cols>
    <col min="1" max="1" width="27.7265625" customWidth="1"/>
    <col min="2" max="2" width="38.6328125" bestFit="1" customWidth="1"/>
    <col min="3" max="3" width="61.36328125" customWidth="1"/>
    <col min="4" max="4" width="16.453125" customWidth="1"/>
    <col min="5" max="5" width="18.08984375" customWidth="1"/>
    <col min="6" max="6" width="15.6328125" customWidth="1"/>
    <col min="7" max="7" width="19.1796875" customWidth="1"/>
    <col min="8" max="8" width="14.26953125" customWidth="1"/>
  </cols>
  <sheetData>
    <row r="1" spans="2:8" ht="15" thickBot="1" x14ac:dyDescent="0.4"/>
    <row r="2" spans="2:8" ht="25.5" thickBot="1" x14ac:dyDescent="0.55000000000000004">
      <c r="B2" s="53" t="s">
        <v>40</v>
      </c>
      <c r="C2" s="54"/>
      <c r="D2" s="54"/>
      <c r="E2" s="54"/>
      <c r="F2" s="54"/>
      <c r="G2" s="54"/>
      <c r="H2" s="55"/>
    </row>
    <row r="3" spans="2:8" ht="17" thickBot="1" x14ac:dyDescent="0.4">
      <c r="B3" s="56"/>
      <c r="C3" s="56"/>
      <c r="D3" s="56"/>
      <c r="E3" s="56"/>
      <c r="F3" s="56"/>
      <c r="G3" s="56"/>
      <c r="H3" s="56"/>
    </row>
    <row r="4" spans="2:8" ht="17" thickBot="1" x14ac:dyDescent="0.4">
      <c r="B4" s="57"/>
      <c r="C4" s="57"/>
      <c r="D4" s="57"/>
      <c r="E4" s="56"/>
      <c r="F4" s="56"/>
      <c r="G4" s="56"/>
      <c r="H4" s="56"/>
    </row>
    <row r="5" spans="2:8" ht="17" thickBot="1" x14ac:dyDescent="0.4">
      <c r="B5" s="58" t="s">
        <v>41</v>
      </c>
      <c r="C5" s="59" t="s">
        <v>42</v>
      </c>
      <c r="D5" s="60"/>
      <c r="E5" s="61"/>
      <c r="F5" s="56"/>
      <c r="G5" s="56"/>
      <c r="H5" s="56"/>
    </row>
    <row r="6" spans="2:8" ht="17" thickBot="1" x14ac:dyDescent="0.4">
      <c r="B6" s="47" t="s">
        <v>43</v>
      </c>
      <c r="C6" s="62" t="s">
        <v>44</v>
      </c>
      <c r="D6" s="63">
        <v>342</v>
      </c>
      <c r="E6" s="61"/>
      <c r="F6" s="56"/>
      <c r="G6" s="56"/>
      <c r="H6" s="56"/>
    </row>
    <row r="7" spans="2:8" ht="17" thickBot="1" x14ac:dyDescent="0.4">
      <c r="B7" s="47"/>
      <c r="C7" s="64" t="s">
        <v>45</v>
      </c>
      <c r="D7" s="65">
        <v>0</v>
      </c>
      <c r="E7" s="61"/>
      <c r="F7" s="56"/>
      <c r="G7" s="56"/>
      <c r="H7" s="56"/>
    </row>
    <row r="8" spans="2:8" ht="17" thickBot="1" x14ac:dyDescent="0.4">
      <c r="B8" s="47"/>
      <c r="C8" s="58" t="s">
        <v>46</v>
      </c>
      <c r="D8" s="66">
        <f>D6+D7</f>
        <v>342</v>
      </c>
      <c r="E8" s="61"/>
      <c r="F8" s="56"/>
      <c r="G8" s="56"/>
      <c r="H8" s="56"/>
    </row>
    <row r="9" spans="2:8" ht="17" thickBot="1" x14ac:dyDescent="0.4">
      <c r="B9" s="47" t="s">
        <v>47</v>
      </c>
      <c r="C9" s="67" t="s">
        <v>48</v>
      </c>
      <c r="D9" s="68">
        <v>0</v>
      </c>
      <c r="E9" s="61"/>
      <c r="F9" s="56"/>
      <c r="G9" s="56"/>
      <c r="H9" s="56"/>
    </row>
    <row r="10" spans="2:8" ht="17" thickBot="1" x14ac:dyDescent="0.4">
      <c r="B10" s="47"/>
      <c r="C10" s="67" t="s">
        <v>49</v>
      </c>
      <c r="D10" s="68">
        <v>0</v>
      </c>
      <c r="E10" s="61"/>
      <c r="F10" s="56"/>
      <c r="G10" s="56"/>
      <c r="H10" s="56"/>
    </row>
    <row r="11" spans="2:8" ht="17" thickBot="1" x14ac:dyDescent="0.4">
      <c r="B11" s="47"/>
      <c r="C11" s="67" t="s">
        <v>50</v>
      </c>
      <c r="D11" s="68">
        <v>0</v>
      </c>
      <c r="E11" s="61"/>
      <c r="F11" s="56"/>
      <c r="G11" s="56"/>
      <c r="H11" s="56"/>
    </row>
    <row r="12" spans="2:8" ht="17" thickBot="1" x14ac:dyDescent="0.4">
      <c r="B12" s="47"/>
      <c r="C12" s="58" t="s">
        <v>51</v>
      </c>
      <c r="D12" s="66">
        <f>D9+D10+D11+D8</f>
        <v>342</v>
      </c>
      <c r="E12" s="61"/>
      <c r="F12" s="56"/>
      <c r="G12" s="56"/>
      <c r="H12" s="56"/>
    </row>
    <row r="13" spans="2:8" ht="17" thickBot="1" x14ac:dyDescent="0.4">
      <c r="B13" s="69" t="s">
        <v>52</v>
      </c>
      <c r="C13" s="69"/>
      <c r="D13" s="66">
        <f>D8</f>
        <v>342</v>
      </c>
      <c r="E13" s="61"/>
      <c r="F13" s="56"/>
      <c r="G13" s="56"/>
      <c r="H13" s="56"/>
    </row>
    <row r="14" spans="2:8" ht="16.5" x14ac:dyDescent="0.35">
      <c r="B14" s="70"/>
      <c r="C14" s="80"/>
      <c r="D14" s="70"/>
      <c r="E14" s="57"/>
      <c r="F14" s="57"/>
      <c r="G14" s="57"/>
      <c r="H14" s="57"/>
    </row>
    <row r="15" spans="2:8" ht="33" x14ac:dyDescent="0.35">
      <c r="B15" s="71" t="s">
        <v>53</v>
      </c>
      <c r="C15" s="71" t="s">
        <v>54</v>
      </c>
      <c r="D15" s="71" t="s">
        <v>55</v>
      </c>
      <c r="E15" s="71" t="s">
        <v>56</v>
      </c>
      <c r="F15" s="71" t="s">
        <v>57</v>
      </c>
      <c r="G15" s="71" t="s">
        <v>58</v>
      </c>
      <c r="H15" s="71" t="s">
        <v>59</v>
      </c>
    </row>
    <row r="16" spans="2:8" ht="16.5" x14ac:dyDescent="0.35">
      <c r="B16" s="44" t="s">
        <v>22</v>
      </c>
      <c r="C16" s="67" t="s">
        <v>67</v>
      </c>
      <c r="D16" s="74">
        <v>1</v>
      </c>
      <c r="E16" s="74">
        <v>1</v>
      </c>
      <c r="F16" s="75">
        <v>0</v>
      </c>
      <c r="G16" s="75">
        <v>2</v>
      </c>
      <c r="H16" s="75"/>
    </row>
    <row r="17" spans="2:8" ht="16.5" x14ac:dyDescent="0.35">
      <c r="B17" s="44" t="s">
        <v>17</v>
      </c>
      <c r="C17" s="67" t="s">
        <v>68</v>
      </c>
      <c r="D17" s="74">
        <v>1</v>
      </c>
      <c r="E17" s="74">
        <v>1</v>
      </c>
      <c r="F17" s="75">
        <v>0</v>
      </c>
      <c r="G17" s="75">
        <v>2</v>
      </c>
      <c r="H17" s="75"/>
    </row>
    <row r="18" spans="2:8" ht="16.5" x14ac:dyDescent="0.35">
      <c r="B18" s="44" t="s">
        <v>23</v>
      </c>
      <c r="C18" s="67" t="s">
        <v>69</v>
      </c>
      <c r="D18" s="74">
        <v>1</v>
      </c>
      <c r="E18" s="74">
        <v>1</v>
      </c>
      <c r="F18" s="75">
        <v>0</v>
      </c>
      <c r="G18" s="75">
        <v>1</v>
      </c>
      <c r="H18" s="75"/>
    </row>
    <row r="19" spans="2:8" ht="16.5" x14ac:dyDescent="0.35">
      <c r="B19" s="44" t="s">
        <v>24</v>
      </c>
      <c r="C19" s="67" t="s">
        <v>74</v>
      </c>
      <c r="D19" s="74">
        <v>1</v>
      </c>
      <c r="E19" s="74">
        <v>1</v>
      </c>
      <c r="F19" s="75">
        <v>0</v>
      </c>
      <c r="G19" s="75">
        <v>1</v>
      </c>
      <c r="H19" s="75"/>
    </row>
    <row r="20" spans="2:8" ht="16.5" x14ac:dyDescent="0.35">
      <c r="B20" s="44" t="s">
        <v>25</v>
      </c>
      <c r="C20" s="67" t="s">
        <v>75</v>
      </c>
      <c r="D20" s="74">
        <v>1</v>
      </c>
      <c r="E20" s="74">
        <v>1</v>
      </c>
      <c r="F20" s="75">
        <v>0</v>
      </c>
      <c r="G20" s="75">
        <v>1</v>
      </c>
      <c r="H20" s="75"/>
    </row>
    <row r="21" spans="2:8" ht="16.5" x14ac:dyDescent="0.35">
      <c r="B21" s="44" t="s">
        <v>26</v>
      </c>
      <c r="C21" s="67" t="s">
        <v>76</v>
      </c>
      <c r="D21" s="74">
        <v>1</v>
      </c>
      <c r="E21" s="74">
        <v>1</v>
      </c>
      <c r="F21" s="75">
        <v>0</v>
      </c>
      <c r="G21" s="75">
        <v>3</v>
      </c>
      <c r="H21" s="75"/>
    </row>
    <row r="22" spans="2:8" ht="16.5" x14ac:dyDescent="0.35">
      <c r="B22" s="44" t="s">
        <v>27</v>
      </c>
      <c r="C22" s="67" t="s">
        <v>70</v>
      </c>
      <c r="D22" s="74">
        <v>1</v>
      </c>
      <c r="E22" s="74">
        <v>1</v>
      </c>
      <c r="F22" s="75">
        <v>0</v>
      </c>
      <c r="G22" s="75">
        <v>3</v>
      </c>
      <c r="H22" s="75"/>
    </row>
    <row r="23" spans="2:8" ht="16.5" x14ac:dyDescent="0.35">
      <c r="B23" s="44" t="s">
        <v>28</v>
      </c>
      <c r="C23" s="67" t="s">
        <v>71</v>
      </c>
      <c r="D23" s="74">
        <v>1</v>
      </c>
      <c r="E23" s="74">
        <v>1</v>
      </c>
      <c r="F23" s="75">
        <v>0</v>
      </c>
      <c r="G23" s="75">
        <v>3</v>
      </c>
      <c r="H23" s="75"/>
    </row>
    <row r="24" spans="2:8" ht="16.5" x14ac:dyDescent="0.35">
      <c r="B24" s="44" t="s">
        <v>29</v>
      </c>
      <c r="C24" s="67" t="s">
        <v>72</v>
      </c>
      <c r="D24" s="74">
        <v>1</v>
      </c>
      <c r="E24" s="74">
        <v>1</v>
      </c>
      <c r="F24" s="75">
        <v>0</v>
      </c>
      <c r="G24" s="75">
        <v>3</v>
      </c>
      <c r="H24" s="75"/>
    </row>
    <row r="25" spans="2:8" ht="16.5" x14ac:dyDescent="0.35">
      <c r="B25" s="45" t="s">
        <v>30</v>
      </c>
      <c r="C25" s="67" t="s">
        <v>77</v>
      </c>
      <c r="D25" s="74">
        <v>1</v>
      </c>
      <c r="E25" s="74">
        <v>1</v>
      </c>
      <c r="F25" s="75">
        <v>0</v>
      </c>
      <c r="G25" s="75">
        <v>4</v>
      </c>
      <c r="H25" s="75"/>
    </row>
    <row r="26" spans="2:8" ht="16.5" x14ac:dyDescent="0.35">
      <c r="B26" s="45" t="s">
        <v>31</v>
      </c>
      <c r="C26" s="67" t="s">
        <v>78</v>
      </c>
      <c r="D26" s="74">
        <v>1</v>
      </c>
      <c r="E26" s="74">
        <v>1</v>
      </c>
      <c r="F26" s="75">
        <v>0</v>
      </c>
      <c r="G26" s="75">
        <v>4</v>
      </c>
      <c r="H26" s="75"/>
    </row>
    <row r="27" spans="2:8" ht="16.5" x14ac:dyDescent="0.35">
      <c r="B27" s="45" t="s">
        <v>32</v>
      </c>
      <c r="C27" s="67" t="s">
        <v>79</v>
      </c>
      <c r="D27" s="74">
        <v>1</v>
      </c>
      <c r="E27" s="74">
        <v>1</v>
      </c>
      <c r="F27" s="75">
        <v>0</v>
      </c>
      <c r="G27" s="75">
        <v>3</v>
      </c>
      <c r="H27" s="75"/>
    </row>
    <row r="28" spans="2:8" ht="16.5" x14ac:dyDescent="0.35">
      <c r="B28" s="45" t="s">
        <v>33</v>
      </c>
      <c r="C28" s="67" t="s">
        <v>80</v>
      </c>
      <c r="D28" s="74">
        <v>1</v>
      </c>
      <c r="E28" s="74">
        <v>1</v>
      </c>
      <c r="F28" s="75">
        <v>0</v>
      </c>
      <c r="G28" s="75">
        <v>3</v>
      </c>
      <c r="H28" s="75"/>
    </row>
    <row r="29" spans="2:8" ht="17" thickBot="1" x14ac:dyDescent="0.4">
      <c r="B29" s="44" t="s">
        <v>34</v>
      </c>
      <c r="C29" s="67" t="s">
        <v>73</v>
      </c>
      <c r="D29" s="74">
        <v>1</v>
      </c>
      <c r="E29" s="74">
        <v>1</v>
      </c>
      <c r="F29" s="75">
        <v>0</v>
      </c>
      <c r="G29" s="75">
        <v>4</v>
      </c>
      <c r="H29" s="76"/>
    </row>
    <row r="30" spans="2:8" ht="17" thickBot="1" x14ac:dyDescent="0.4">
      <c r="B30" s="71" t="s">
        <v>60</v>
      </c>
      <c r="C30" s="71" t="s">
        <v>54</v>
      </c>
      <c r="D30" s="77" t="s">
        <v>61</v>
      </c>
      <c r="E30" s="77" t="s">
        <v>62</v>
      </c>
      <c r="F30" s="77" t="s">
        <v>58</v>
      </c>
      <c r="G30" s="78"/>
      <c r="H30" s="46"/>
    </row>
    <row r="31" spans="2:8" ht="17" thickBot="1" x14ac:dyDescent="0.4">
      <c r="B31" s="72"/>
      <c r="C31" s="67"/>
      <c r="D31" s="75"/>
      <c r="E31" s="75"/>
      <c r="F31" s="75"/>
      <c r="G31" s="78"/>
      <c r="H31" s="46"/>
    </row>
    <row r="32" spans="2:8" ht="17" thickBot="1" x14ac:dyDescent="0.4">
      <c r="B32" s="47" t="s">
        <v>63</v>
      </c>
      <c r="C32" s="73" t="s">
        <v>64</v>
      </c>
      <c r="D32" s="79">
        <v>0</v>
      </c>
      <c r="E32" s="78"/>
      <c r="F32" s="46"/>
      <c r="G32" s="46"/>
      <c r="H32" s="46"/>
    </row>
    <row r="33" spans="2:8" ht="17" thickBot="1" x14ac:dyDescent="0.4">
      <c r="B33" s="47"/>
      <c r="C33" s="73" t="s">
        <v>65</v>
      </c>
      <c r="D33" s="79">
        <v>14</v>
      </c>
      <c r="E33" s="78"/>
      <c r="F33" s="46"/>
      <c r="G33" s="46"/>
      <c r="H33" s="46"/>
    </row>
    <row r="34" spans="2:8" ht="17" thickBot="1" x14ac:dyDescent="0.4">
      <c r="B34" s="47"/>
      <c r="C34" s="73" t="s">
        <v>66</v>
      </c>
      <c r="D34" s="79">
        <v>14</v>
      </c>
      <c r="E34" s="78"/>
      <c r="F34" s="46"/>
      <c r="G34" s="46"/>
      <c r="H34" s="46"/>
    </row>
  </sheetData>
  <mergeCells count="6">
    <mergeCell ref="B2:H2"/>
    <mergeCell ref="C5:D5"/>
    <mergeCell ref="B6:B8"/>
    <mergeCell ref="B9:B12"/>
    <mergeCell ref="B13:C13"/>
    <mergeCell ref="B32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36BA-BD11-470C-8731-8201389938AE}">
  <dimension ref="B1:H25"/>
  <sheetViews>
    <sheetView zoomScale="61" workbookViewId="0">
      <selection activeCell="D7" sqref="D7"/>
    </sheetView>
  </sheetViews>
  <sheetFormatPr defaultRowHeight="14.5" x14ac:dyDescent="0.35"/>
  <cols>
    <col min="1" max="1" width="27.7265625" customWidth="1"/>
    <col min="2" max="2" width="38.6328125" bestFit="1" customWidth="1"/>
    <col min="3" max="3" width="61.36328125" customWidth="1"/>
    <col min="4" max="4" width="16.453125" customWidth="1"/>
    <col min="5" max="5" width="18.08984375" customWidth="1"/>
    <col min="6" max="6" width="15.6328125" customWidth="1"/>
    <col min="7" max="7" width="19.1796875" customWidth="1"/>
    <col min="8" max="8" width="14.26953125" customWidth="1"/>
  </cols>
  <sheetData>
    <row r="1" spans="2:8" ht="15" thickBot="1" x14ac:dyDescent="0.4"/>
    <row r="2" spans="2:8" ht="25.5" thickBot="1" x14ac:dyDescent="0.55000000000000004">
      <c r="B2" s="53" t="s">
        <v>40</v>
      </c>
      <c r="C2" s="54"/>
      <c r="D2" s="54"/>
      <c r="E2" s="54"/>
      <c r="F2" s="54"/>
      <c r="G2" s="54"/>
      <c r="H2" s="55"/>
    </row>
    <row r="3" spans="2:8" ht="17" thickBot="1" x14ac:dyDescent="0.4">
      <c r="B3" s="56"/>
      <c r="C3" s="56"/>
      <c r="D3" s="56"/>
      <c r="E3" s="56"/>
      <c r="F3" s="56"/>
      <c r="G3" s="56"/>
      <c r="H3" s="56"/>
    </row>
    <row r="4" spans="2:8" ht="17" thickBot="1" x14ac:dyDescent="0.4">
      <c r="B4" s="57"/>
      <c r="C4" s="57"/>
      <c r="D4" s="57"/>
      <c r="E4" s="56"/>
      <c r="F4" s="56"/>
      <c r="G4" s="56"/>
      <c r="H4" s="56"/>
    </row>
    <row r="5" spans="2:8" ht="17" thickBot="1" x14ac:dyDescent="0.4">
      <c r="B5" s="58" t="s">
        <v>41</v>
      </c>
      <c r="C5" s="59" t="s">
        <v>42</v>
      </c>
      <c r="D5" s="60"/>
      <c r="E5" s="61"/>
      <c r="F5" s="56"/>
      <c r="G5" s="56"/>
      <c r="H5" s="56"/>
    </row>
    <row r="6" spans="2:8" ht="17" thickBot="1" x14ac:dyDescent="0.4">
      <c r="B6" s="47" t="s">
        <v>43</v>
      </c>
      <c r="C6" s="62" t="s">
        <v>44</v>
      </c>
      <c r="D6" s="63">
        <v>226</v>
      </c>
      <c r="E6" s="61"/>
      <c r="F6" s="56"/>
      <c r="G6" s="56"/>
      <c r="H6" s="56"/>
    </row>
    <row r="7" spans="2:8" ht="17" thickBot="1" x14ac:dyDescent="0.4">
      <c r="B7" s="47"/>
      <c r="C7" s="64" t="s">
        <v>45</v>
      </c>
      <c r="D7" s="65">
        <v>0</v>
      </c>
      <c r="E7" s="61"/>
      <c r="F7" s="56"/>
      <c r="G7" s="56"/>
      <c r="H7" s="56"/>
    </row>
    <row r="8" spans="2:8" ht="17" thickBot="1" x14ac:dyDescent="0.4">
      <c r="B8" s="47"/>
      <c r="C8" s="58" t="s">
        <v>46</v>
      </c>
      <c r="D8" s="66">
        <f>D6+D7</f>
        <v>226</v>
      </c>
      <c r="E8" s="61"/>
      <c r="F8" s="56"/>
      <c r="G8" s="56"/>
      <c r="H8" s="56"/>
    </row>
    <row r="9" spans="2:8" ht="17" thickBot="1" x14ac:dyDescent="0.4">
      <c r="B9" s="47" t="s">
        <v>47</v>
      </c>
      <c r="C9" s="67" t="s">
        <v>48</v>
      </c>
      <c r="D9" s="68">
        <v>0</v>
      </c>
      <c r="E9" s="61"/>
      <c r="F9" s="56"/>
      <c r="G9" s="56"/>
      <c r="H9" s="56"/>
    </row>
    <row r="10" spans="2:8" ht="17" thickBot="1" x14ac:dyDescent="0.4">
      <c r="B10" s="47"/>
      <c r="C10" s="67" t="s">
        <v>49</v>
      </c>
      <c r="D10" s="68">
        <v>0</v>
      </c>
      <c r="E10" s="61"/>
      <c r="F10" s="56"/>
      <c r="G10" s="56"/>
      <c r="H10" s="56"/>
    </row>
    <row r="11" spans="2:8" ht="17" thickBot="1" x14ac:dyDescent="0.4">
      <c r="B11" s="47"/>
      <c r="C11" s="67" t="s">
        <v>50</v>
      </c>
      <c r="D11" s="68">
        <v>0</v>
      </c>
      <c r="E11" s="61"/>
      <c r="F11" s="56"/>
      <c r="G11" s="56"/>
      <c r="H11" s="56"/>
    </row>
    <row r="12" spans="2:8" ht="17" thickBot="1" x14ac:dyDescent="0.4">
      <c r="B12" s="47"/>
      <c r="C12" s="58" t="s">
        <v>51</v>
      </c>
      <c r="D12" s="66">
        <f>D9+D10+D11+D8</f>
        <v>226</v>
      </c>
      <c r="E12" s="61"/>
      <c r="F12" s="56"/>
      <c r="G12" s="56"/>
      <c r="H12" s="56"/>
    </row>
    <row r="13" spans="2:8" ht="17" thickBot="1" x14ac:dyDescent="0.4">
      <c r="B13" s="69" t="s">
        <v>52</v>
      </c>
      <c r="C13" s="69"/>
      <c r="D13" s="66">
        <f>D8</f>
        <v>226</v>
      </c>
      <c r="E13" s="61"/>
      <c r="F13" s="56"/>
      <c r="G13" s="56"/>
      <c r="H13" s="56"/>
    </row>
    <row r="14" spans="2:8" ht="16.5" x14ac:dyDescent="0.35">
      <c r="B14" s="70"/>
      <c r="C14" s="70"/>
      <c r="D14" s="70"/>
      <c r="E14" s="57"/>
      <c r="F14" s="57"/>
      <c r="G14" s="57"/>
      <c r="H14" s="57"/>
    </row>
    <row r="15" spans="2:8" ht="33" x14ac:dyDescent="0.35">
      <c r="B15" s="71" t="s">
        <v>53</v>
      </c>
      <c r="C15" s="71" t="s">
        <v>54</v>
      </c>
      <c r="D15" s="71" t="s">
        <v>55</v>
      </c>
      <c r="E15" s="71" t="s">
        <v>56</v>
      </c>
      <c r="F15" s="71" t="s">
        <v>57</v>
      </c>
      <c r="G15" s="71" t="s">
        <v>58</v>
      </c>
      <c r="H15" s="71" t="s">
        <v>59</v>
      </c>
    </row>
    <row r="16" spans="2:8" ht="16.5" x14ac:dyDescent="0.35">
      <c r="B16" s="44" t="s">
        <v>35</v>
      </c>
      <c r="C16" s="67" t="s">
        <v>81</v>
      </c>
      <c r="D16" s="74">
        <v>1</v>
      </c>
      <c r="E16" s="74">
        <v>1</v>
      </c>
      <c r="F16" s="75">
        <v>0</v>
      </c>
      <c r="G16" s="75">
        <v>3</v>
      </c>
      <c r="H16" s="75"/>
    </row>
    <row r="17" spans="2:8" ht="16.5" x14ac:dyDescent="0.35">
      <c r="B17" s="44" t="s">
        <v>36</v>
      </c>
      <c r="C17" s="67" t="s">
        <v>82</v>
      </c>
      <c r="D17" s="74">
        <v>1</v>
      </c>
      <c r="E17" s="74">
        <v>1</v>
      </c>
      <c r="F17" s="75">
        <v>0</v>
      </c>
      <c r="G17" s="75">
        <v>3</v>
      </c>
      <c r="H17" s="75"/>
    </row>
    <row r="18" spans="2:8" ht="16.5" x14ac:dyDescent="0.35">
      <c r="B18" s="44" t="s">
        <v>37</v>
      </c>
      <c r="C18" s="67" t="s">
        <v>83</v>
      </c>
      <c r="D18" s="74">
        <v>1</v>
      </c>
      <c r="E18" s="74">
        <v>1</v>
      </c>
      <c r="F18" s="75">
        <v>0</v>
      </c>
      <c r="G18" s="75">
        <v>4</v>
      </c>
      <c r="H18" s="75"/>
    </row>
    <row r="19" spans="2:8" ht="16.5" x14ac:dyDescent="0.35">
      <c r="B19" s="44" t="s">
        <v>39</v>
      </c>
      <c r="C19" s="67" t="s">
        <v>84</v>
      </c>
      <c r="D19" s="74">
        <v>1</v>
      </c>
      <c r="E19" s="74">
        <v>1</v>
      </c>
      <c r="F19" s="75">
        <v>0</v>
      </c>
      <c r="G19" s="75">
        <v>4</v>
      </c>
      <c r="H19" s="75"/>
    </row>
    <row r="20" spans="2:8" ht="17" thickBot="1" x14ac:dyDescent="0.4">
      <c r="B20" s="44" t="s">
        <v>38</v>
      </c>
      <c r="C20" s="67" t="s">
        <v>38</v>
      </c>
      <c r="D20" s="74">
        <v>1</v>
      </c>
      <c r="E20" s="74">
        <v>1</v>
      </c>
      <c r="F20" s="75">
        <v>0</v>
      </c>
      <c r="G20" s="75">
        <v>4</v>
      </c>
      <c r="H20" s="75"/>
    </row>
    <row r="21" spans="2:8" ht="17" thickBot="1" x14ac:dyDescent="0.4">
      <c r="B21" s="71" t="s">
        <v>60</v>
      </c>
      <c r="C21" s="71" t="s">
        <v>54</v>
      </c>
      <c r="D21" s="77" t="s">
        <v>61</v>
      </c>
      <c r="E21" s="77" t="s">
        <v>62</v>
      </c>
      <c r="F21" s="77" t="s">
        <v>58</v>
      </c>
      <c r="G21" s="78"/>
      <c r="H21" s="46"/>
    </row>
    <row r="22" spans="2:8" ht="17" thickBot="1" x14ac:dyDescent="0.4">
      <c r="B22" s="72"/>
      <c r="C22" s="67"/>
      <c r="D22" s="75"/>
      <c r="E22" s="75"/>
      <c r="F22" s="75"/>
      <c r="G22" s="78"/>
      <c r="H22" s="46"/>
    </row>
    <row r="23" spans="2:8" ht="17" thickBot="1" x14ac:dyDescent="0.4">
      <c r="B23" s="47" t="s">
        <v>63</v>
      </c>
      <c r="C23" s="73" t="s">
        <v>64</v>
      </c>
      <c r="D23" s="79">
        <v>0</v>
      </c>
      <c r="E23" s="78"/>
      <c r="F23" s="46"/>
      <c r="G23" s="46"/>
      <c r="H23" s="46"/>
    </row>
    <row r="24" spans="2:8" ht="17" thickBot="1" x14ac:dyDescent="0.4">
      <c r="B24" s="47"/>
      <c r="C24" s="73" t="s">
        <v>65</v>
      </c>
      <c r="D24" s="79">
        <v>5</v>
      </c>
      <c r="E24" s="78"/>
      <c r="F24" s="46"/>
      <c r="G24" s="46"/>
      <c r="H24" s="46"/>
    </row>
    <row r="25" spans="2:8" ht="17" thickBot="1" x14ac:dyDescent="0.4">
      <c r="B25" s="47"/>
      <c r="C25" s="73" t="s">
        <v>66</v>
      </c>
      <c r="D25" s="79">
        <v>5</v>
      </c>
      <c r="E25" s="78"/>
      <c r="F25" s="46"/>
      <c r="G25" s="46"/>
      <c r="H25" s="46"/>
    </row>
  </sheetData>
  <mergeCells count="6">
    <mergeCell ref="B2:H2"/>
    <mergeCell ref="C5:D5"/>
    <mergeCell ref="B6:B8"/>
    <mergeCell ref="B9:B12"/>
    <mergeCell ref="B13:C13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Sprint1</vt:lpstr>
      <vt:lpstr>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Duong Ngoc Xuan</dc:creator>
  <cp:lastModifiedBy>Mai Duong Ngoc Xuan</cp:lastModifiedBy>
  <dcterms:created xsi:type="dcterms:W3CDTF">2026-05-05T13:18:51Z</dcterms:created>
  <dcterms:modified xsi:type="dcterms:W3CDTF">2026-05-07T15:25:30Z</dcterms:modified>
</cp:coreProperties>
</file>