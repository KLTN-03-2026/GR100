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9A9A378-F332-4FB6-AD7C-01D899F3FD4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print 1" sheetId="1" r:id="rId1"/>
    <sheet name="Sprint 2" sheetId="2" r:id="rId2"/>
    <sheet name="Tota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E11" i="2"/>
  <c r="E10" i="2"/>
  <c r="E8" i="2"/>
  <c r="E9" i="2"/>
  <c r="D12" i="2"/>
  <c r="D11" i="2"/>
  <c r="D10" i="2"/>
  <c r="D9" i="2"/>
  <c r="D8" i="2"/>
  <c r="D8" i="1"/>
  <c r="B4" i="4" s="1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AK70" i="2"/>
  <c r="G70" i="2"/>
  <c r="AI69" i="2"/>
  <c r="AJ69" i="2"/>
  <c r="I69" i="2"/>
  <c r="J69" i="2"/>
  <c r="K69" i="2"/>
  <c r="L69" i="2"/>
  <c r="AD69" i="2"/>
  <c r="AE69" i="2"/>
  <c r="AK69" i="2"/>
  <c r="AH69" i="2"/>
  <c r="AG69" i="2"/>
  <c r="AF69" i="2"/>
  <c r="G149" i="1"/>
  <c r="D12" i="1"/>
  <c r="D11" i="1"/>
  <c r="D10" i="1"/>
  <c r="D9" i="1"/>
  <c r="E8" i="1"/>
  <c r="E9" i="1"/>
  <c r="E12" i="1"/>
  <c r="E11" i="1"/>
  <c r="E10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G18" i="2" l="1"/>
  <c r="G16" i="2"/>
  <c r="G69" i="2" s="1"/>
  <c r="B5" i="4" l="1"/>
  <c r="G16" i="1" l="1"/>
  <c r="G19" i="1" l="1"/>
  <c r="G148" i="1" s="1"/>
  <c r="C4" i="4" l="1"/>
  <c r="AC148" i="1" l="1"/>
  <c r="AD148" i="1"/>
  <c r="AE148" i="1"/>
  <c r="J4" i="4" l="1"/>
  <c r="H4" i="4"/>
  <c r="F5" i="4"/>
  <c r="D5" i="4"/>
  <c r="K5" i="4"/>
  <c r="I5" i="4"/>
  <c r="K4" i="4"/>
  <c r="I4" i="4"/>
  <c r="G5" i="4"/>
  <c r="G4" i="4"/>
  <c r="E5" i="4"/>
  <c r="E4" i="4"/>
  <c r="C5" i="4"/>
  <c r="J5" i="4"/>
  <c r="H5" i="4"/>
  <c r="F4" i="4"/>
  <c r="D4" i="4"/>
  <c r="B6" i="4"/>
  <c r="F6" i="4" l="1"/>
  <c r="D6" i="4"/>
  <c r="K6" i="4"/>
  <c r="C6" i="4"/>
  <c r="G6" i="4"/>
  <c r="J6" i="4"/>
  <c r="E6" i="4"/>
  <c r="I6" i="4"/>
  <c r="H6" i="4"/>
  <c r="E13" i="2"/>
  <c r="D13" i="2"/>
  <c r="E13" i="1"/>
  <c r="D13" i="1"/>
  <c r="F10" i="4" l="1"/>
  <c r="F11" i="4"/>
</calcChain>
</file>

<file path=xl/sharedStrings.xml><?xml version="1.0" encoding="utf-8"?>
<sst xmlns="http://schemas.openxmlformats.org/spreadsheetml/2006/main" count="400" uniqueCount="191">
  <si>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</si>
  <si>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</si>
  <si>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</si>
  <si>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</si>
  <si>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</si>
  <si>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</si>
  <si>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</si>
  <si>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</si>
  <si>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</si>
  <si>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</si>
  <si>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</si>
  <si>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</si>
  <si>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</si>
  <si>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</si>
  <si>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</si>
  <si>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</si>
  <si>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Giao diện đăng nhập</t>
  </si>
  <si>
    <t>User interface design</t>
  </si>
  <si>
    <t>Review all test case of sprint 1</t>
  </si>
  <si>
    <t>Review all user interfaces of sprint 1</t>
  </si>
  <si>
    <t>Design test case</t>
  </si>
  <si>
    <t>Code back-end cho đăng nhập</t>
  </si>
  <si>
    <t xml:space="preserve">Integrate code </t>
  </si>
  <si>
    <t>Coding</t>
  </si>
  <si>
    <t>Testing</t>
  </si>
  <si>
    <t>Fix Bug</t>
  </si>
  <si>
    <t>Sprint 1 review meeting</t>
  </si>
  <si>
    <t>Sprint 1 retrospective</t>
  </si>
  <si>
    <t>Release Sprint 1</t>
  </si>
  <si>
    <t>Sprint 2</t>
  </si>
  <si>
    <t>SPRINT 2 REPORT</t>
  </si>
  <si>
    <t>Release Sprint 2</t>
  </si>
  <si>
    <t>Re-testing</t>
  </si>
  <si>
    <t>Sprint 2 review meeting</t>
  </si>
  <si>
    <t>Sprint 2 retrospective</t>
  </si>
  <si>
    <t>Tạo Sprint Backlog 2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</si>
  <si>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</si>
  <si>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</si>
  <si>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</si>
  <si>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</si>
  <si>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</si>
  <si>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</si>
  <si>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</si>
  <si>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</si>
  <si>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</si>
  <si>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</si>
  <si>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Kết thúc đúng hạn</t>
  </si>
  <si>
    <t>Hoàng</t>
  </si>
  <si>
    <r>
      <t>T</t>
    </r>
    <r>
      <rPr>
        <b/>
        <sz val="11"/>
        <color theme="1"/>
        <rFont val="Times New Roman"/>
        <family val="1"/>
      </rPr>
      <t>HIẾT KẾ VÀ PHÁT TRIỂN HỆ THỐNG QUẢN LÝ     VÀ ĐIỀU PHỐI NGUỒN LỰC TÌNH NGUYỆN VIÊN TRỰC TUYẾN TÍCH HỢP MÔ HÌNH HỖ TRỢ RA QUYẾT ĐỊNH</t>
    </r>
  </si>
  <si>
    <t>Trần Ngọc Huy</t>
  </si>
  <si>
    <t>Huỳnh Như Quốc</t>
  </si>
  <si>
    <t>Kiều Phước Thịnh</t>
  </si>
  <si>
    <t>Nguyễn Minh Hoàng</t>
  </si>
  <si>
    <t>Dương Ngọc Xuân Mai</t>
  </si>
  <si>
    <t>Quốc</t>
  </si>
  <si>
    <t>Thịnh</t>
  </si>
  <si>
    <t>Giao diện đăng kí</t>
  </si>
  <si>
    <t xml:space="preserve">Giao diện xem chiến dịch </t>
  </si>
  <si>
    <t>Giao diện tìm kiếm chiến dịch</t>
  </si>
  <si>
    <t>Giao diện xem chi tiết chiến dịch</t>
  </si>
  <si>
    <t>Giao diện quản lý profile</t>
  </si>
  <si>
    <t>Giao diện quản lý hồ sơ năng lực</t>
  </si>
  <si>
    <t>Giao diện quản lý chiến dịch</t>
  </si>
  <si>
    <t>Giao diện tham gia chiến dịch</t>
  </si>
  <si>
    <t>Giao diện recommendation chiến dịch</t>
  </si>
  <si>
    <t>Giao diện recommendation tình nguyện viên</t>
  </si>
  <si>
    <t>Giao diện duyệt chiến dịch</t>
  </si>
  <si>
    <t>Giao diện xử lý feedback</t>
  </si>
  <si>
    <t>Giao diện dashboard kiểm duyệt viên</t>
  </si>
  <si>
    <t>Huy</t>
  </si>
  <si>
    <t>Mai</t>
  </si>
  <si>
    <t>Thiết kế trường kiểm thử cho đăng kí</t>
  </si>
  <si>
    <t>Thiết kế trường kiểm thử cho đăng nhập</t>
  </si>
  <si>
    <t>Thiết kế trường kiểm thử cho xem chiến dịch</t>
  </si>
  <si>
    <t>Thiết kế trường kiểm thử cho tìm kiếm chiến dịch</t>
  </si>
  <si>
    <t>Thiết kế trường kiểm thử cho xem chi tiết chiến dịch</t>
  </si>
  <si>
    <t>Thiết kế trường kiểm thử cho quản lý profile</t>
  </si>
  <si>
    <t>Thiết kế trường kiểm thử cho quản lý hồ sơ năng lực</t>
  </si>
  <si>
    <t>Thiết kế trường kiểm thử cho quản lý chiến dịch</t>
  </si>
  <si>
    <t>Thiết kế trường kiểm thử cho tham gia chiến dịch</t>
  </si>
  <si>
    <t>Thiết kế trường kiểm thử cho recommendation chiến dịch</t>
  </si>
  <si>
    <t>Thiết kế trường kiểm thử cho recommendation tình nguyện viên</t>
  </si>
  <si>
    <t>Thiết kế trường kiểm thử cho duyệt chiến dịch</t>
  </si>
  <si>
    <t>Thiết kế trường kiểm thử cho xử lý feedback</t>
  </si>
  <si>
    <t>Thiết kế trường kiểm thử cho dashboard kiểm duyệt viên</t>
  </si>
  <si>
    <t>Code front-end cho đăng nhập</t>
  </si>
  <si>
    <t>Code front-end cho xem chiến dịch</t>
  </si>
  <si>
    <t>Code front-end cho tìm kiếm chiến dịch</t>
  </si>
  <si>
    <t>Code front-end cho xem chi tiết chiến dịch</t>
  </si>
  <si>
    <t>Code front-end cho quản lý profile</t>
  </si>
  <si>
    <t>Code front-end cho quản lý hồ sơ năng lực</t>
  </si>
  <si>
    <t>Code front-end cho quản lý chiến dịch</t>
  </si>
  <si>
    <t>Code front-end cho tham gia chiến dịch</t>
  </si>
  <si>
    <t>Code front-end cho recommendation chiến dịch</t>
  </si>
  <si>
    <t>Code front-end cho recommendation tình nguyện viên</t>
  </si>
  <si>
    <t>Code front-end cho duyệt chiến dịch</t>
  </si>
  <si>
    <t>Code front-end cho xử lý feedback</t>
  </si>
  <si>
    <t xml:space="preserve">Code front-end cho dashboard kiểm duyệt viên </t>
  </si>
  <si>
    <t>Code back-end cho đăng kí</t>
  </si>
  <si>
    <t>Code back-end cho xem chiến dịch</t>
  </si>
  <si>
    <t>Code back-end cho tìm kiếm chiến dịch</t>
  </si>
  <si>
    <t>Code back-end cho xem chi tiết chiến dịch</t>
  </si>
  <si>
    <t>Code back-end cho quản lý profile</t>
  </si>
  <si>
    <t>Code back-end cho quản lý hồ sơ năng lực</t>
  </si>
  <si>
    <t>Code back-end cho quản lý chiến dịch</t>
  </si>
  <si>
    <t>Code back-end cho tham gia chiến dịch</t>
  </si>
  <si>
    <t>Code back-end cho recommendation chiến dịch</t>
  </si>
  <si>
    <t>Code back-end cho recommendation tình nguyện viên</t>
  </si>
  <si>
    <t>Code back-end cho duyệt chiến dịch</t>
  </si>
  <si>
    <t>Code back-end cho xử lý feedback</t>
  </si>
  <si>
    <t xml:space="preserve">Code back-end cho dashboard kiểm duyệt viên </t>
  </si>
  <si>
    <t>Kiểm tra cho đăng kí</t>
  </si>
  <si>
    <t>Kiểm tra cho đăng nhập</t>
  </si>
  <si>
    <t>Kiểm tra cho xem chiến dịch</t>
  </si>
  <si>
    <t>Kiểm tra cho tìm kiếm chiến dịch</t>
  </si>
  <si>
    <t>Kiểm tra cho xem chi tiết chiến dịch</t>
  </si>
  <si>
    <t>Kiểm tra cho quản lý profile</t>
  </si>
  <si>
    <t>Kiểm tra cho quản lý hồ sơ năng lực</t>
  </si>
  <si>
    <t>Kiểm tra cho quản lý chiến dịch</t>
  </si>
  <si>
    <t>Kiểm tra cho tham gia chiến dịch</t>
  </si>
  <si>
    <t>Kiểm tra cho recommendation chiến dịch</t>
  </si>
  <si>
    <t>Kiểm tra cho recommendation tình nguyện viên</t>
  </si>
  <si>
    <t>Kiểm tra cho duyệt chiến dịch</t>
  </si>
  <si>
    <t>Kiểm tra cho xử lý feedback</t>
  </si>
  <si>
    <t xml:space="preserve">Kiểm tra cho dashboard kiểm duyệt viên </t>
  </si>
  <si>
    <t>Sửa lỗi cho đăng kí</t>
  </si>
  <si>
    <t>Sửa lỗi cho đăng nhập</t>
  </si>
  <si>
    <t>Sửa lỗi cho xem chiến dịch</t>
  </si>
  <si>
    <t>Sửa lỗi cho tìm kiếm chiến dịch</t>
  </si>
  <si>
    <t>Sửa lỗi cho xem chi tiết chiến dịch</t>
  </si>
  <si>
    <t>Sửa lỗi cho quản lý profile</t>
  </si>
  <si>
    <t>Sửa lỗi cho quản lý hồ sơ năng lực</t>
  </si>
  <si>
    <t>Sửa lỗi cho quản lý chiến dịch</t>
  </si>
  <si>
    <t>Sửa lỗi cho tham gia chiến dịch</t>
  </si>
  <si>
    <t>Sửa lỗi cho recommendation chiến dịch</t>
  </si>
  <si>
    <t>Sửa lỗi cho recommendation tình nguyện viên</t>
  </si>
  <si>
    <t>Sửa lỗi cho duyệt chiến dịch</t>
  </si>
  <si>
    <t>Sửa lỗi cho xử lý feedback</t>
  </si>
  <si>
    <t xml:space="preserve">Sửa lỗi cho dashboard kiểm duyệt viên </t>
  </si>
  <si>
    <t>Kiểm tra lại cho đăng kí</t>
  </si>
  <si>
    <t>Kiểm tra lại cho đăng nhập</t>
  </si>
  <si>
    <t>Kiểm tra lại cho xem chiến dịch</t>
  </si>
  <si>
    <t>Kiểm tra lại cho tìm kiếm chiến dịch</t>
  </si>
  <si>
    <t>Kiểm tra lại cho xem chi tiết chiến dịch</t>
  </si>
  <si>
    <t>Kiểm tra lại cho quản lý profile</t>
  </si>
  <si>
    <t>Kiểm tra lại cho quản lý hồ sơ năng lực</t>
  </si>
  <si>
    <t>Kiểm tra lại cho quản lý chiến dịch</t>
  </si>
  <si>
    <t>Kiểm tra lại cho tham gia chiến dịch</t>
  </si>
  <si>
    <t>Kiểm tra lại cho recommendation chiến dịch</t>
  </si>
  <si>
    <t>Kiểm tra lại cho recommendation tình nguyện viên</t>
  </si>
  <si>
    <t>Kiểm tra lại cho duyệt chiến dịch</t>
  </si>
  <si>
    <t>Kiểm tra lại cho xử lý feedback</t>
  </si>
  <si>
    <t xml:space="preserve">Kiểm tra lại cho dashboard kiểm duyệt viên </t>
  </si>
  <si>
    <t>Giao diện quản lý người dùng</t>
  </si>
  <si>
    <t>Giao diện quản lý phân quyền</t>
  </si>
  <si>
    <t>Giao diện quản lý danh mục</t>
  </si>
  <si>
    <t>Giao diện dashboard admin</t>
  </si>
  <si>
    <t>Giao diện AI - Xác minh chiến dịch tự động</t>
  </si>
  <si>
    <t>Thiết kế trường kiểm thử cho quản lý người dùng</t>
  </si>
  <si>
    <t>Thiết kế trường kiểm thử cho quản lý phân quyền</t>
  </si>
  <si>
    <t>Thiết kế trường kiểm thử cho quản lý danh mục</t>
  </si>
  <si>
    <t>Thiết kế trường kiểm thử cho dashboard admin</t>
  </si>
  <si>
    <t>Thiết kế trường kiểm thử cho AI - Xác minh chiến dịch tự động</t>
  </si>
  <si>
    <t>Code front-end cho quản lý người dùng</t>
  </si>
  <si>
    <t>Code front-end cho quản lý danh mục</t>
  </si>
  <si>
    <t>Code front-end cho quản lý phân quyền</t>
  </si>
  <si>
    <t>Code front-end cho dashboard admin</t>
  </si>
  <si>
    <t>Code front-end cho AI - Xác minh chiến dịch tự động</t>
  </si>
  <si>
    <t>Code back-end cho quản lý người dùng</t>
  </si>
  <si>
    <t>Code back-end cho quản lý phân quyền</t>
  </si>
  <si>
    <t>Code back-end cho quản lý danh mục</t>
  </si>
  <si>
    <t>Code back-end cho dashboard admin</t>
  </si>
  <si>
    <t>Code back-end cho AI - Xác minh chiến dịch tự động</t>
  </si>
  <si>
    <t>Kiểm tra cho quản lý người dùng</t>
  </si>
  <si>
    <t>Kiểm tra cho quản lý phân quyền</t>
  </si>
  <si>
    <t>Kiểm tra cho quản lý danh mục</t>
  </si>
  <si>
    <t>Kiểm tra cho dashboard admin</t>
  </si>
  <si>
    <t>Kiểm tra cho AI - Xác minh chiến dịch tự động</t>
  </si>
  <si>
    <t>Sửa lỗi cho quản lý người dùng</t>
  </si>
  <si>
    <t>Sửa lỗi cho quản lý phân quyền</t>
  </si>
  <si>
    <t>Sửa lỗi cho quản lý danh mục</t>
  </si>
  <si>
    <t>Sửa lỗi cho dashboard admin</t>
  </si>
  <si>
    <t>Sửa lỗi cho AI - Xác minh chiến dịch tự động</t>
  </si>
  <si>
    <t>Kiểm tra lại cho quản lý người dùng</t>
  </si>
  <si>
    <t>Kiểm tra lại cho quản lý phân quyền</t>
  </si>
  <si>
    <t>Kiểm tra lại cho quản lý danh mục</t>
  </si>
  <si>
    <t>Kiểm tra lại cho dashboard admin</t>
  </si>
  <si>
    <t>Kiểm tra lại cho AI - Xác minh chiến dịch tự động</t>
  </si>
  <si>
    <t>Code front-end cho đăng ký</t>
  </si>
  <si>
    <t>Project's Meeting</t>
  </si>
  <si>
    <t>Final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</si>
</sst>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1" fillId="2" borderId="4" xfId="0" applyFont="1" applyFill="1" applyBorder="1"/>
    <xf numFmtId="0" fontId="3" fillId="0" borderId="5" xfId="0" applyFont="1" applyBorder="1" applyAlignment="1">
      <alignment horizontal="left" vertical="center"/>
    </xf>
    <xf numFmtId="0" fontId="1" fillId="9" borderId="6" xfId="0" applyFont="1" applyFill="1" applyBorder="1"/>
    <xf numFmtId="0" fontId="3" fillId="0" borderId="7" xfId="0" applyFont="1" applyBorder="1" applyAlignment="1">
      <alignment horizontal="left" vertical="center" wrapText="1"/>
    </xf>
    <xf numFmtId="0" fontId="1" fillId="3" borderId="6" xfId="0" applyFont="1" applyFill="1" applyBorder="1"/>
    <xf numFmtId="0" fontId="1" fillId="8" borderId="6" xfId="0" applyFont="1" applyFill="1" applyBorder="1"/>
    <xf numFmtId="0" fontId="1" fillId="4" borderId="8" xfId="0" applyFont="1" applyFill="1" applyBorder="1"/>
    <xf numFmtId="0" fontId="3" fillId="0" borderId="10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11" borderId="8" xfId="0" applyFont="1" applyFill="1" applyBorder="1" applyAlignment="1">
      <alignment horizontal="left" vertical="center"/>
    </xf>
    <xf numFmtId="0" fontId="1" fillId="11" borderId="6" xfId="0" applyFont="1" applyFill="1" applyBorder="1"/>
    <xf numFmtId="0" fontId="1" fillId="0" borderId="7" xfId="0" applyFont="1" applyBorder="1"/>
    <xf numFmtId="0" fontId="1" fillId="11" borderId="8" xfId="0" applyFont="1" applyFill="1" applyBorder="1"/>
    <xf numFmtId="0" fontId="1" fillId="0" borderId="10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12" borderId="1" xfId="0" applyFont="1" applyFill="1" applyBorder="1"/>
    <xf numFmtId="0" fontId="3" fillId="3" borderId="1" xfId="0" applyFont="1" applyFill="1" applyBorder="1"/>
    <xf numFmtId="0" fontId="1" fillId="0" borderId="22" xfId="0" applyFont="1" applyBorder="1"/>
    <xf numFmtId="0" fontId="2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1'!$I$15:$AE$15</c:f>
              <c:numCache>
                <c:formatCode>dd/mm</c:formatCode>
                <c:ptCount val="23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  <c:pt idx="7">
                  <c:v>46113</c:v>
                </c:pt>
                <c:pt idx="8">
                  <c:v>46114</c:v>
                </c:pt>
                <c:pt idx="9">
                  <c:v>46115</c:v>
                </c:pt>
                <c:pt idx="10">
                  <c:v>46116</c:v>
                </c:pt>
                <c:pt idx="11">
                  <c:v>46117</c:v>
                </c:pt>
                <c:pt idx="12">
                  <c:v>46118</c:v>
                </c:pt>
                <c:pt idx="13">
                  <c:v>46119</c:v>
                </c:pt>
                <c:pt idx="14">
                  <c:v>46120</c:v>
                </c:pt>
                <c:pt idx="15">
                  <c:v>46121</c:v>
                </c:pt>
                <c:pt idx="16">
                  <c:v>46122</c:v>
                </c:pt>
                <c:pt idx="17">
                  <c:v>46123</c:v>
                </c:pt>
                <c:pt idx="18">
                  <c:v>46124</c:v>
                </c:pt>
                <c:pt idx="19">
                  <c:v>46125</c:v>
                </c:pt>
                <c:pt idx="20">
                  <c:v>46126</c:v>
                </c:pt>
                <c:pt idx="21">
                  <c:v>46127</c:v>
                </c:pt>
                <c:pt idx="22">
                  <c:v>46128</c:v>
                </c:pt>
              </c:numCache>
            </c:numRef>
          </c:cat>
          <c:val>
            <c:numRef>
              <c:f>'Sprint 1'!$I$148:$AE$148</c:f>
              <c:numCache>
                <c:formatCode>General</c:formatCode>
                <c:ptCount val="23"/>
                <c:pt idx="0">
                  <c:v>267</c:v>
                </c:pt>
                <c:pt idx="1">
                  <c:v>262</c:v>
                </c:pt>
                <c:pt idx="2">
                  <c:v>257</c:v>
                </c:pt>
                <c:pt idx="3">
                  <c:v>253</c:v>
                </c:pt>
                <c:pt idx="4">
                  <c:v>238</c:v>
                </c:pt>
                <c:pt idx="5">
                  <c:v>232</c:v>
                </c:pt>
                <c:pt idx="6">
                  <c:v>220</c:v>
                </c:pt>
                <c:pt idx="7">
                  <c:v>216</c:v>
                </c:pt>
                <c:pt idx="8">
                  <c:v>182</c:v>
                </c:pt>
                <c:pt idx="9">
                  <c:v>168</c:v>
                </c:pt>
                <c:pt idx="10">
                  <c:v>157</c:v>
                </c:pt>
                <c:pt idx="11">
                  <c:v>151</c:v>
                </c:pt>
                <c:pt idx="12">
                  <c:v>154</c:v>
                </c:pt>
                <c:pt idx="13">
                  <c:v>136</c:v>
                </c:pt>
                <c:pt idx="14">
                  <c:v>125</c:v>
                </c:pt>
                <c:pt idx="15">
                  <c:v>148</c:v>
                </c:pt>
                <c:pt idx="16">
                  <c:v>128</c:v>
                </c:pt>
                <c:pt idx="17">
                  <c:v>102</c:v>
                </c:pt>
                <c:pt idx="18">
                  <c:v>66</c:v>
                </c:pt>
                <c:pt idx="19">
                  <c:v>52</c:v>
                </c:pt>
                <c:pt idx="20">
                  <c:v>38</c:v>
                </c:pt>
                <c:pt idx="21">
                  <c:v>10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1'!$I$15:$AE$15</c:f>
              <c:numCache>
                <c:formatCode>dd/mm</c:formatCode>
                <c:ptCount val="23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  <c:pt idx="7">
                  <c:v>46113</c:v>
                </c:pt>
                <c:pt idx="8">
                  <c:v>46114</c:v>
                </c:pt>
                <c:pt idx="9">
                  <c:v>46115</c:v>
                </c:pt>
                <c:pt idx="10">
                  <c:v>46116</c:v>
                </c:pt>
                <c:pt idx="11">
                  <c:v>46117</c:v>
                </c:pt>
                <c:pt idx="12">
                  <c:v>46118</c:v>
                </c:pt>
                <c:pt idx="13">
                  <c:v>46119</c:v>
                </c:pt>
                <c:pt idx="14">
                  <c:v>46120</c:v>
                </c:pt>
                <c:pt idx="15">
                  <c:v>46121</c:v>
                </c:pt>
                <c:pt idx="16">
                  <c:v>46122</c:v>
                </c:pt>
                <c:pt idx="17">
                  <c:v>46123</c:v>
                </c:pt>
                <c:pt idx="18">
                  <c:v>46124</c:v>
                </c:pt>
                <c:pt idx="19">
                  <c:v>46125</c:v>
                </c:pt>
                <c:pt idx="20">
                  <c:v>46126</c:v>
                </c:pt>
                <c:pt idx="21">
                  <c:v>46127</c:v>
                </c:pt>
                <c:pt idx="22">
                  <c:v>46128</c:v>
                </c:pt>
              </c:numCache>
            </c:numRef>
          </c:cat>
          <c:val>
            <c:numRef>
              <c:f>'Sprint 1'!$I$149:$AE$149</c:f>
              <c:numCache>
                <c:formatCode>General</c:formatCode>
                <c:ptCount val="23"/>
                <c:pt idx="0">
                  <c:v>267</c:v>
                </c:pt>
                <c:pt idx="1">
                  <c:v>262</c:v>
                </c:pt>
                <c:pt idx="2">
                  <c:v>258</c:v>
                </c:pt>
                <c:pt idx="3">
                  <c:v>248</c:v>
                </c:pt>
                <c:pt idx="4">
                  <c:v>238</c:v>
                </c:pt>
                <c:pt idx="5">
                  <c:v>230</c:v>
                </c:pt>
                <c:pt idx="6">
                  <c:v>220</c:v>
                </c:pt>
                <c:pt idx="7">
                  <c:v>192</c:v>
                </c:pt>
                <c:pt idx="8">
                  <c:v>182</c:v>
                </c:pt>
                <c:pt idx="9">
                  <c:v>159</c:v>
                </c:pt>
                <c:pt idx="10">
                  <c:v>153</c:v>
                </c:pt>
                <c:pt idx="11">
                  <c:v>150</c:v>
                </c:pt>
                <c:pt idx="12">
                  <c:v>146</c:v>
                </c:pt>
                <c:pt idx="13">
                  <c:v>137</c:v>
                </c:pt>
                <c:pt idx="14">
                  <c:v>128</c:v>
                </c:pt>
                <c:pt idx="15">
                  <c:v>110</c:v>
                </c:pt>
                <c:pt idx="16">
                  <c:v>98</c:v>
                </c:pt>
                <c:pt idx="17">
                  <c:v>94</c:v>
                </c:pt>
                <c:pt idx="18">
                  <c:v>66</c:v>
                </c:pt>
                <c:pt idx="19">
                  <c:v>52</c:v>
                </c:pt>
                <c:pt idx="20">
                  <c:v>38</c:v>
                </c:pt>
                <c:pt idx="21">
                  <c:v>10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effectLst>
      <a:outerShdw blurRad="50800" dist="152400" dir="5400000" algn="ctr" rotWithShape="0">
        <a:srgbClr val="000000">
          <a:alpha val="43137"/>
        </a:srgbClr>
      </a:outerShdw>
    </a:effec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19457287717E-2"/>
          <c:y val="0.14856481481481484"/>
          <c:w val="0.89019682637725861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1'!$G$148:$AE$148</c:f>
              <c:numCache>
                <c:formatCode>General</c:formatCode>
                <c:ptCount val="25"/>
                <c:pt idx="0">
                  <c:v>331</c:v>
                </c:pt>
                <c:pt idx="2">
                  <c:v>267</c:v>
                </c:pt>
                <c:pt idx="3">
                  <c:v>262</c:v>
                </c:pt>
                <c:pt idx="4">
                  <c:v>257</c:v>
                </c:pt>
                <c:pt idx="5">
                  <c:v>253</c:v>
                </c:pt>
                <c:pt idx="6">
                  <c:v>238</c:v>
                </c:pt>
                <c:pt idx="7">
                  <c:v>232</c:v>
                </c:pt>
                <c:pt idx="8">
                  <c:v>220</c:v>
                </c:pt>
                <c:pt idx="9">
                  <c:v>216</c:v>
                </c:pt>
                <c:pt idx="10">
                  <c:v>182</c:v>
                </c:pt>
                <c:pt idx="11">
                  <c:v>168</c:v>
                </c:pt>
                <c:pt idx="12">
                  <c:v>157</c:v>
                </c:pt>
                <c:pt idx="13">
                  <c:v>151</c:v>
                </c:pt>
                <c:pt idx="14">
                  <c:v>154</c:v>
                </c:pt>
                <c:pt idx="15">
                  <c:v>136</c:v>
                </c:pt>
                <c:pt idx="16">
                  <c:v>125</c:v>
                </c:pt>
                <c:pt idx="17">
                  <c:v>148</c:v>
                </c:pt>
                <c:pt idx="18">
                  <c:v>128</c:v>
                </c:pt>
                <c:pt idx="19">
                  <c:v>102</c:v>
                </c:pt>
                <c:pt idx="20">
                  <c:v>66</c:v>
                </c:pt>
                <c:pt idx="21">
                  <c:v>52</c:v>
                </c:pt>
                <c:pt idx="22">
                  <c:v>38</c:v>
                </c:pt>
                <c:pt idx="23">
                  <c:v>10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1'!$G$149:$AE$149</c:f>
              <c:numCache>
                <c:formatCode>General</c:formatCode>
                <c:ptCount val="25"/>
                <c:pt idx="0">
                  <c:v>276</c:v>
                </c:pt>
                <c:pt idx="2">
                  <c:v>267</c:v>
                </c:pt>
                <c:pt idx="3">
                  <c:v>262</c:v>
                </c:pt>
                <c:pt idx="4">
                  <c:v>258</c:v>
                </c:pt>
                <c:pt idx="5">
                  <c:v>248</c:v>
                </c:pt>
                <c:pt idx="6">
                  <c:v>238</c:v>
                </c:pt>
                <c:pt idx="7">
                  <c:v>230</c:v>
                </c:pt>
                <c:pt idx="8">
                  <c:v>220</c:v>
                </c:pt>
                <c:pt idx="9">
                  <c:v>192</c:v>
                </c:pt>
                <c:pt idx="10">
                  <c:v>182</c:v>
                </c:pt>
                <c:pt idx="11">
                  <c:v>159</c:v>
                </c:pt>
                <c:pt idx="12">
                  <c:v>153</c:v>
                </c:pt>
                <c:pt idx="13">
                  <c:v>150</c:v>
                </c:pt>
                <c:pt idx="14">
                  <c:v>146</c:v>
                </c:pt>
                <c:pt idx="15">
                  <c:v>137</c:v>
                </c:pt>
                <c:pt idx="16">
                  <c:v>128</c:v>
                </c:pt>
                <c:pt idx="17">
                  <c:v>110</c:v>
                </c:pt>
                <c:pt idx="18">
                  <c:v>98</c:v>
                </c:pt>
                <c:pt idx="19">
                  <c:v>94</c:v>
                </c:pt>
                <c:pt idx="20">
                  <c:v>66</c:v>
                </c:pt>
                <c:pt idx="21">
                  <c:v>52</c:v>
                </c:pt>
                <c:pt idx="22">
                  <c:v>38</c:v>
                </c:pt>
                <c:pt idx="23">
                  <c:v>10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2'!$I$15:$AK$15</c:f>
              <c:numCache>
                <c:formatCode>dd/mm</c:formatCode>
                <c:ptCount val="29"/>
                <c:pt idx="0">
                  <c:v>46129</c:v>
                </c:pt>
                <c:pt idx="1">
                  <c:v>46130</c:v>
                </c:pt>
                <c:pt idx="2">
                  <c:v>46131</c:v>
                </c:pt>
                <c:pt idx="3">
                  <c:v>46132</c:v>
                </c:pt>
                <c:pt idx="4">
                  <c:v>46133</c:v>
                </c:pt>
                <c:pt idx="5">
                  <c:v>46134</c:v>
                </c:pt>
                <c:pt idx="6">
                  <c:v>46135</c:v>
                </c:pt>
                <c:pt idx="7">
                  <c:v>46136</c:v>
                </c:pt>
                <c:pt idx="8">
                  <c:v>46137</c:v>
                </c:pt>
                <c:pt idx="9">
                  <c:v>46138</c:v>
                </c:pt>
                <c:pt idx="10">
                  <c:v>46139</c:v>
                </c:pt>
                <c:pt idx="11">
                  <c:v>46140</c:v>
                </c:pt>
                <c:pt idx="12">
                  <c:v>46141</c:v>
                </c:pt>
                <c:pt idx="13">
                  <c:v>46142</c:v>
                </c:pt>
                <c:pt idx="14">
                  <c:v>46143</c:v>
                </c:pt>
                <c:pt idx="15">
                  <c:v>46144</c:v>
                </c:pt>
                <c:pt idx="16">
                  <c:v>46145</c:v>
                </c:pt>
                <c:pt idx="17">
                  <c:v>46146</c:v>
                </c:pt>
                <c:pt idx="18">
                  <c:v>46147</c:v>
                </c:pt>
                <c:pt idx="19">
                  <c:v>46148</c:v>
                </c:pt>
                <c:pt idx="20">
                  <c:v>46149</c:v>
                </c:pt>
                <c:pt idx="21">
                  <c:v>46150</c:v>
                </c:pt>
                <c:pt idx="22">
                  <c:v>46151</c:v>
                </c:pt>
                <c:pt idx="23">
                  <c:v>46152</c:v>
                </c:pt>
                <c:pt idx="24">
                  <c:v>46153</c:v>
                </c:pt>
                <c:pt idx="25">
                  <c:v>46154</c:v>
                </c:pt>
                <c:pt idx="26">
                  <c:v>46155</c:v>
                </c:pt>
                <c:pt idx="27">
                  <c:v>46156</c:v>
                </c:pt>
                <c:pt idx="28">
                  <c:v>46157</c:v>
                </c:pt>
              </c:numCache>
            </c:numRef>
          </c:cat>
          <c:val>
            <c:numRef>
              <c:f>'Sprint 2'!$I$69:$AK$69</c:f>
              <c:numCache>
                <c:formatCode>General</c:formatCode>
                <c:ptCount val="29"/>
                <c:pt idx="0">
                  <c:v>156</c:v>
                </c:pt>
                <c:pt idx="1">
                  <c:v>153</c:v>
                </c:pt>
                <c:pt idx="2">
                  <c:v>151</c:v>
                </c:pt>
                <c:pt idx="3">
                  <c:v>147</c:v>
                </c:pt>
                <c:pt idx="4">
                  <c:v>145</c:v>
                </c:pt>
                <c:pt idx="5">
                  <c:v>135</c:v>
                </c:pt>
                <c:pt idx="6">
                  <c:v>130</c:v>
                </c:pt>
                <c:pt idx="7">
                  <c:v>126</c:v>
                </c:pt>
                <c:pt idx="8">
                  <c:v>125</c:v>
                </c:pt>
                <c:pt idx="9">
                  <c:v>109</c:v>
                </c:pt>
                <c:pt idx="10">
                  <c:v>107</c:v>
                </c:pt>
                <c:pt idx="11">
                  <c:v>104</c:v>
                </c:pt>
                <c:pt idx="12">
                  <c:v>101</c:v>
                </c:pt>
                <c:pt idx="13">
                  <c:v>98</c:v>
                </c:pt>
                <c:pt idx="14">
                  <c:v>96</c:v>
                </c:pt>
                <c:pt idx="15">
                  <c:v>90</c:v>
                </c:pt>
                <c:pt idx="16">
                  <c:v>88</c:v>
                </c:pt>
                <c:pt idx="17">
                  <c:v>82</c:v>
                </c:pt>
                <c:pt idx="18">
                  <c:v>89</c:v>
                </c:pt>
                <c:pt idx="19">
                  <c:v>70</c:v>
                </c:pt>
                <c:pt idx="20">
                  <c:v>64</c:v>
                </c:pt>
                <c:pt idx="21">
                  <c:v>60</c:v>
                </c:pt>
                <c:pt idx="22">
                  <c:v>54</c:v>
                </c:pt>
                <c:pt idx="23">
                  <c:v>50</c:v>
                </c:pt>
                <c:pt idx="24">
                  <c:v>40</c:v>
                </c:pt>
                <c:pt idx="25">
                  <c:v>26</c:v>
                </c:pt>
                <c:pt idx="26">
                  <c:v>20</c:v>
                </c:pt>
                <c:pt idx="27">
                  <c:v>10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DC-4270-9200-90B31E88ECD0}"/>
            </c:ext>
          </c:extLst>
        </c:ser>
        <c:ser>
          <c:idx val="1"/>
          <c:order val="1"/>
          <c:tx>
            <c:v>Ước tính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2'!$I$15:$AK$15</c:f>
              <c:numCache>
                <c:formatCode>dd/mm</c:formatCode>
                <c:ptCount val="29"/>
                <c:pt idx="0">
                  <c:v>46129</c:v>
                </c:pt>
                <c:pt idx="1">
                  <c:v>46130</c:v>
                </c:pt>
                <c:pt idx="2">
                  <c:v>46131</c:v>
                </c:pt>
                <c:pt idx="3">
                  <c:v>46132</c:v>
                </c:pt>
                <c:pt idx="4">
                  <c:v>46133</c:v>
                </c:pt>
                <c:pt idx="5">
                  <c:v>46134</c:v>
                </c:pt>
                <c:pt idx="6">
                  <c:v>46135</c:v>
                </c:pt>
                <c:pt idx="7">
                  <c:v>46136</c:v>
                </c:pt>
                <c:pt idx="8">
                  <c:v>46137</c:v>
                </c:pt>
                <c:pt idx="9">
                  <c:v>46138</c:v>
                </c:pt>
                <c:pt idx="10">
                  <c:v>46139</c:v>
                </c:pt>
                <c:pt idx="11">
                  <c:v>46140</c:v>
                </c:pt>
                <c:pt idx="12">
                  <c:v>46141</c:v>
                </c:pt>
                <c:pt idx="13">
                  <c:v>46142</c:v>
                </c:pt>
                <c:pt idx="14">
                  <c:v>46143</c:v>
                </c:pt>
                <c:pt idx="15">
                  <c:v>46144</c:v>
                </c:pt>
                <c:pt idx="16">
                  <c:v>46145</c:v>
                </c:pt>
                <c:pt idx="17">
                  <c:v>46146</c:v>
                </c:pt>
                <c:pt idx="18">
                  <c:v>46147</c:v>
                </c:pt>
                <c:pt idx="19">
                  <c:v>46148</c:v>
                </c:pt>
                <c:pt idx="20">
                  <c:v>46149</c:v>
                </c:pt>
                <c:pt idx="21">
                  <c:v>46150</c:v>
                </c:pt>
                <c:pt idx="22">
                  <c:v>46151</c:v>
                </c:pt>
                <c:pt idx="23">
                  <c:v>46152</c:v>
                </c:pt>
                <c:pt idx="24">
                  <c:v>46153</c:v>
                </c:pt>
                <c:pt idx="25">
                  <c:v>46154</c:v>
                </c:pt>
                <c:pt idx="26">
                  <c:v>46155</c:v>
                </c:pt>
                <c:pt idx="27">
                  <c:v>46156</c:v>
                </c:pt>
                <c:pt idx="28">
                  <c:v>46157</c:v>
                </c:pt>
              </c:numCache>
            </c:numRef>
          </c:cat>
          <c:val>
            <c:numRef>
              <c:f>'Sprint 2'!$I$70:$AK$70</c:f>
              <c:numCache>
                <c:formatCode>General</c:formatCode>
                <c:ptCount val="29"/>
                <c:pt idx="0">
                  <c:v>159</c:v>
                </c:pt>
                <c:pt idx="1">
                  <c:v>155</c:v>
                </c:pt>
                <c:pt idx="2">
                  <c:v>151</c:v>
                </c:pt>
                <c:pt idx="3">
                  <c:v>147</c:v>
                </c:pt>
                <c:pt idx="4">
                  <c:v>143</c:v>
                </c:pt>
                <c:pt idx="5">
                  <c:v>140</c:v>
                </c:pt>
                <c:pt idx="6">
                  <c:v>130</c:v>
                </c:pt>
                <c:pt idx="7">
                  <c:v>126</c:v>
                </c:pt>
                <c:pt idx="8">
                  <c:v>120</c:v>
                </c:pt>
                <c:pt idx="9">
                  <c:v>110</c:v>
                </c:pt>
                <c:pt idx="10">
                  <c:v>107</c:v>
                </c:pt>
                <c:pt idx="11">
                  <c:v>104</c:v>
                </c:pt>
                <c:pt idx="12">
                  <c:v>101</c:v>
                </c:pt>
                <c:pt idx="13">
                  <c:v>98</c:v>
                </c:pt>
                <c:pt idx="14">
                  <c:v>95</c:v>
                </c:pt>
                <c:pt idx="15">
                  <c:v>92</c:v>
                </c:pt>
                <c:pt idx="16">
                  <c:v>89</c:v>
                </c:pt>
                <c:pt idx="17">
                  <c:v>86</c:v>
                </c:pt>
                <c:pt idx="18">
                  <c:v>80</c:v>
                </c:pt>
                <c:pt idx="19">
                  <c:v>70</c:v>
                </c:pt>
                <c:pt idx="20">
                  <c:v>64</c:v>
                </c:pt>
                <c:pt idx="21">
                  <c:v>60</c:v>
                </c:pt>
                <c:pt idx="22">
                  <c:v>54</c:v>
                </c:pt>
                <c:pt idx="23">
                  <c:v>50</c:v>
                </c:pt>
                <c:pt idx="24">
                  <c:v>40</c:v>
                </c:pt>
                <c:pt idx="25">
                  <c:v>30</c:v>
                </c:pt>
                <c:pt idx="26">
                  <c:v>20</c:v>
                </c:pt>
                <c:pt idx="27">
                  <c:v>20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9DC-4270-9200-90B31E88E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  <c:max val="46157"/>
          <c:min val="46129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0086902608528052"/>
          <c:y val="0.51768938013184473"/>
          <c:w val="7.8809664525229486E-2"/>
          <c:h val="8.01809622073805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</a:t>
            </a:r>
            <a:r>
              <a:rPr lang="vi-VN" baseline="0"/>
              <a:t>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19457287717E-2"/>
          <c:y val="0.1902314814814815"/>
          <c:w val="0.89019682637725861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2'!$G$69:$AK$69</c:f>
              <c:numCache>
                <c:formatCode>General</c:formatCode>
                <c:ptCount val="31"/>
                <c:pt idx="0">
                  <c:v>174</c:v>
                </c:pt>
                <c:pt idx="2">
                  <c:v>156</c:v>
                </c:pt>
                <c:pt idx="3">
                  <c:v>153</c:v>
                </c:pt>
                <c:pt idx="4">
                  <c:v>151</c:v>
                </c:pt>
                <c:pt idx="5">
                  <c:v>147</c:v>
                </c:pt>
                <c:pt idx="6">
                  <c:v>145</c:v>
                </c:pt>
                <c:pt idx="7">
                  <c:v>135</c:v>
                </c:pt>
                <c:pt idx="8">
                  <c:v>130</c:v>
                </c:pt>
                <c:pt idx="9">
                  <c:v>126</c:v>
                </c:pt>
                <c:pt idx="10">
                  <c:v>125</c:v>
                </c:pt>
                <c:pt idx="11">
                  <c:v>109</c:v>
                </c:pt>
                <c:pt idx="12">
                  <c:v>107</c:v>
                </c:pt>
                <c:pt idx="13">
                  <c:v>104</c:v>
                </c:pt>
                <c:pt idx="14">
                  <c:v>101</c:v>
                </c:pt>
                <c:pt idx="15">
                  <c:v>98</c:v>
                </c:pt>
                <c:pt idx="16">
                  <c:v>96</c:v>
                </c:pt>
                <c:pt idx="17">
                  <c:v>90</c:v>
                </c:pt>
                <c:pt idx="18">
                  <c:v>88</c:v>
                </c:pt>
                <c:pt idx="19">
                  <c:v>82</c:v>
                </c:pt>
                <c:pt idx="20">
                  <c:v>89</c:v>
                </c:pt>
                <c:pt idx="21">
                  <c:v>70</c:v>
                </c:pt>
                <c:pt idx="22">
                  <c:v>64</c:v>
                </c:pt>
                <c:pt idx="23">
                  <c:v>60</c:v>
                </c:pt>
                <c:pt idx="24">
                  <c:v>54</c:v>
                </c:pt>
                <c:pt idx="25">
                  <c:v>50</c:v>
                </c:pt>
                <c:pt idx="26">
                  <c:v>40</c:v>
                </c:pt>
                <c:pt idx="27">
                  <c:v>26</c:v>
                </c:pt>
                <c:pt idx="28">
                  <c:v>20</c:v>
                </c:pt>
                <c:pt idx="29">
                  <c:v>10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1-42AB-B947-1119C67F962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2'!$G$70:$AK$70</c:f>
              <c:numCache>
                <c:formatCode>General</c:formatCode>
                <c:ptCount val="31"/>
                <c:pt idx="0">
                  <c:v>169</c:v>
                </c:pt>
                <c:pt idx="2">
                  <c:v>159</c:v>
                </c:pt>
                <c:pt idx="3">
                  <c:v>155</c:v>
                </c:pt>
                <c:pt idx="4">
                  <c:v>151</c:v>
                </c:pt>
                <c:pt idx="5">
                  <c:v>147</c:v>
                </c:pt>
                <c:pt idx="6">
                  <c:v>143</c:v>
                </c:pt>
                <c:pt idx="7">
                  <c:v>140</c:v>
                </c:pt>
                <c:pt idx="8">
                  <c:v>130</c:v>
                </c:pt>
                <c:pt idx="9">
                  <c:v>126</c:v>
                </c:pt>
                <c:pt idx="10">
                  <c:v>120</c:v>
                </c:pt>
                <c:pt idx="11">
                  <c:v>110</c:v>
                </c:pt>
                <c:pt idx="12">
                  <c:v>107</c:v>
                </c:pt>
                <c:pt idx="13">
                  <c:v>104</c:v>
                </c:pt>
                <c:pt idx="14">
                  <c:v>101</c:v>
                </c:pt>
                <c:pt idx="15">
                  <c:v>98</c:v>
                </c:pt>
                <c:pt idx="16">
                  <c:v>95</c:v>
                </c:pt>
                <c:pt idx="17">
                  <c:v>92</c:v>
                </c:pt>
                <c:pt idx="18">
                  <c:v>89</c:v>
                </c:pt>
                <c:pt idx="19">
                  <c:v>86</c:v>
                </c:pt>
                <c:pt idx="20">
                  <c:v>80</c:v>
                </c:pt>
                <c:pt idx="21">
                  <c:v>70</c:v>
                </c:pt>
                <c:pt idx="22">
                  <c:v>64</c:v>
                </c:pt>
                <c:pt idx="23">
                  <c:v>60</c:v>
                </c:pt>
                <c:pt idx="24">
                  <c:v>54</c:v>
                </c:pt>
                <c:pt idx="25">
                  <c:v>50</c:v>
                </c:pt>
                <c:pt idx="26">
                  <c:v>40</c:v>
                </c:pt>
                <c:pt idx="27">
                  <c:v>30</c:v>
                </c:pt>
                <c:pt idx="28">
                  <c:v>20</c:v>
                </c:pt>
                <c:pt idx="29">
                  <c:v>20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361-42AB-B947-1119C67F9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97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1279072</xdr:colOff>
      <xdr:row>150</xdr:row>
      <xdr:rowOff>57149</xdr:rowOff>
    </xdr:from>
    <xdr:to>
      <xdr:col>18</xdr:col>
      <xdr:colOff>231322</xdr:colOff>
      <xdr:row>182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884464</xdr:colOff>
      <xdr:row>151</xdr:row>
      <xdr:rowOff>97972</xdr:rowOff>
    </xdr:from>
    <xdr:to>
      <xdr:col>16</xdr:col>
      <xdr:colOff>40821</xdr:colOff>
      <xdr:row>164</xdr:row>
      <xdr:rowOff>187779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1264228</xdr:colOff>
      <xdr:row>73</xdr:row>
      <xdr:rowOff>155862</xdr:rowOff>
    </xdr:from>
    <xdr:to>
      <xdr:col>22</xdr:col>
      <xdr:colOff>7423</xdr:colOff>
      <xdr:row>107</xdr:row>
      <xdr:rowOff>153142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ED9ED-D10A-4A4B-9040-FBE45797C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121227</xdr:colOff>
      <xdr:row>74</xdr:row>
      <xdr:rowOff>113806</xdr:rowOff>
    </xdr:from>
    <xdr:to>
      <xdr:col>21</xdr:col>
      <xdr:colOff>277090</xdr:colOff>
      <xdr:row>89</xdr:row>
      <xdr:rowOff>34637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0574CA-2880-47E5-B4AF-FBB95AC1F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9"/>
  <sheetViews>
    <sheetView topLeftCell="A157" zoomScale="70" zoomScaleNormal="70" workbookViewId="0">
      <selection activeCell="D8" sqref="D8"/>
    </sheetView>
  </sheetViews>
  <sheetFormatPr defaultColWidth="9.140625" defaultRowHeight="16.5" x14ac:dyDescent="0.25"/>
  <cols>
    <col min="1" max="1" width="16" style="1" customWidth="1"/>
    <col min="2" max="2" width="20.28515625" style="1" customWidth="1"/>
    <col min="3" max="3" width="55.42578125" style="1" customWidth="1"/>
    <col min="4" max="5" width="11" style="1" customWidth="1"/>
    <col min="6" max="6" width="20.5703125" style="1" customWidth="1"/>
    <col min="7" max="8" width="6.140625" style="1" customWidth="1"/>
    <col min="9" max="9" width="6" style="1" customWidth="1"/>
    <col min="10" max="13" width="6.140625" style="1" customWidth="1"/>
    <col min="14" max="14" width="6" style="1" customWidth="1"/>
    <col min="15" max="15" width="6.140625" style="1" customWidth="1"/>
    <col min="16" max="20" width="6" style="1" customWidth="1"/>
    <col min="21" max="23" width="6.140625" style="1" customWidth="1"/>
    <col min="24" max="24" width="6" style="1" customWidth="1"/>
    <col min="25" max="25" width="6.140625" style="1" customWidth="1"/>
    <col min="26" max="26" width="6" style="1" customWidth="1"/>
    <col min="27" max="27" width="5.85546875" style="1" customWidth="1"/>
    <col min="28" max="28" width="6.140625" style="1" customWidth="1"/>
    <col min="29" max="31" width="6" style="1" customWidth="1"/>
    <col min="32" max="16384" width="9.140625" style="1"/>
  </cols>
  <sheetData>
    <row r="1" spans="1:31" ht="60.75" thickBot="1" x14ac:dyDescent="0.3">
      <c r="A1" s="37" t="s">
        <v>3</v>
      </c>
      <c r="B1" s="37"/>
      <c r="C1" s="31" t="s">
        <v>48</v>
      </c>
      <c r="E1" s="7"/>
      <c r="F1" s="8" t="s">
        <v>46</v>
      </c>
    </row>
    <row r="2" spans="1:31" ht="17.25" thickBot="1" x14ac:dyDescent="0.3">
      <c r="A2" s="37" t="s">
        <v>2</v>
      </c>
      <c r="B2" s="37"/>
      <c r="C2" s="2" t="s">
        <v>4</v>
      </c>
      <c r="E2" s="11"/>
      <c r="F2" s="10" t="s">
        <v>43</v>
      </c>
    </row>
    <row r="3" spans="1:31" ht="17.25" thickBot="1" x14ac:dyDescent="0.3">
      <c r="A3" s="37" t="s">
        <v>1</v>
      </c>
      <c r="B3" s="37"/>
      <c r="C3" s="32">
        <v>46106</v>
      </c>
      <c r="E3" s="13"/>
      <c r="F3" s="14" t="s">
        <v>41</v>
      </c>
    </row>
    <row r="4" spans="1:31" ht="17.25" customHeight="1" thickBot="1" x14ac:dyDescent="0.3">
      <c r="A4" s="37" t="s">
        <v>0</v>
      </c>
      <c r="B4" s="37"/>
      <c r="C4" s="32">
        <v>46128</v>
      </c>
    </row>
    <row r="5" spans="1:31" ht="16.5" customHeight="1" thickBot="1" x14ac:dyDescent="0.3"/>
    <row r="6" spans="1:31" ht="17.25" thickBot="1" x14ac:dyDescent="0.3">
      <c r="B6" s="36" t="s">
        <v>5</v>
      </c>
      <c r="C6" s="36"/>
      <c r="D6" s="36"/>
      <c r="E6" s="36"/>
    </row>
    <row r="7" spans="1:31" ht="17.25" thickBot="1" x14ac:dyDescent="0.3">
      <c r="B7" s="4" t="s">
        <v>6</v>
      </c>
      <c r="C7" s="4" t="s">
        <v>38</v>
      </c>
      <c r="D7" s="4" t="s">
        <v>11</v>
      </c>
      <c r="E7" s="4" t="s">
        <v>37</v>
      </c>
    </row>
    <row r="8" spans="1:31" ht="17.25" thickBot="1" x14ac:dyDescent="0.3">
      <c r="B8" s="5">
        <v>1</v>
      </c>
      <c r="C8" s="2" t="s">
        <v>49</v>
      </c>
      <c r="D8" s="2">
        <f ca="1">SUMIF($E$16:$F$147,"Huy",$G$16:$G$147)+SUMIF($E$16:$F$147,"All team",$G$16:$G$147)/5</f>
        <v>57</v>
      </c>
      <c r="E8" s="2">
        <f ca="1">SUMIF($E$16:$F$147,"Huy",$H$16:$H$147)+SUMIF($E$16:$F$147,"All team",$H$16:$H$147)/5</f>
        <v>56.6</v>
      </c>
    </row>
    <row r="9" spans="1:31" ht="17.25" thickBot="1" x14ac:dyDescent="0.3">
      <c r="B9" s="5">
        <v>2</v>
      </c>
      <c r="C9" s="2" t="s">
        <v>50</v>
      </c>
      <c r="D9" s="2">
        <f ca="1">SUMIF($E$16:$F$147,"Quốc",$G$16:$G$147)+SUMIF($E$16:$F$147,"All team",$G$16:$G$147)/5</f>
        <v>65</v>
      </c>
      <c r="E9" s="2">
        <f ca="1">SUMIF($E$16:$F$147,"Quốc",$H$16:$H$147)+SUMIF($E$16:$F$147,"All team",$H$16:$H$147)/5</f>
        <v>61.6</v>
      </c>
    </row>
    <row r="10" spans="1:31" ht="17.25" thickBot="1" x14ac:dyDescent="0.3">
      <c r="B10" s="5">
        <v>3</v>
      </c>
      <c r="C10" s="2" t="s">
        <v>51</v>
      </c>
      <c r="D10" s="2">
        <f ca="1">SUMIF($E$16:$F$147,"Thịnh",$G$16:$G$147)+SUMIF($E$16:$F$147,"All team",$G$16:$G$147)/5</f>
        <v>89</v>
      </c>
      <c r="E10" s="2">
        <f ca="1">SUMIF($E$16:$F$147,"Thịnh",$H$16:$H$147)+SUMIF($E$16:$F$147,"All team",$H$16:$H$147)/5</f>
        <v>58.6</v>
      </c>
    </row>
    <row r="11" spans="1:31" ht="17.25" thickBot="1" x14ac:dyDescent="0.3">
      <c r="B11" s="5">
        <v>4</v>
      </c>
      <c r="C11" s="2" t="s">
        <v>52</v>
      </c>
      <c r="D11" s="2">
        <f ca="1">SUMIF($E$16:$F$147,"Hoàng",$G$16:$G$147)+SUMIF($E$16:$F$147,"All team",$G$16:$G$147)/5</f>
        <v>73</v>
      </c>
      <c r="E11" s="2">
        <f ca="1">SUMIF($E$16:$F$147,"Hoàng",$H$16:$H$147)+SUMIF($E$16:$F$147,"All team",$H$16:$H$147)/5</f>
        <v>56.6</v>
      </c>
    </row>
    <row r="12" spans="1:31" ht="17.25" thickBot="1" x14ac:dyDescent="0.3">
      <c r="B12" s="5">
        <v>5</v>
      </c>
      <c r="C12" s="2" t="s">
        <v>53</v>
      </c>
      <c r="D12" s="2">
        <f ca="1">SUMIF($E$16:$F$147,"Mai",$G$16:$G$147)+SUMIF($E$16:$F$147,"All team",$G$16:$G$147)/5</f>
        <v>47</v>
      </c>
      <c r="E12" s="2">
        <f ca="1">SUMIF($E$16:$F$147,"Mai",$H$16:$H$147)+SUMIF($E$16:$F$147,"All team",$H$16:$H$147)/5</f>
        <v>42.6</v>
      </c>
    </row>
    <row r="13" spans="1:31" ht="17.25" thickBot="1" x14ac:dyDescent="0.3">
      <c r="B13" s="36" t="s">
        <v>12</v>
      </c>
      <c r="C13" s="36"/>
      <c r="D13" s="3">
        <f ca="1">SUM(D8:D12)</f>
        <v>331</v>
      </c>
      <c r="E13" s="3">
        <f ca="1">SUM(E8:E12)</f>
        <v>276</v>
      </c>
    </row>
    <row r="15" spans="1:31" ht="62.25" customHeight="1" x14ac:dyDescent="0.25">
      <c r="A15" s="15" t="s">
        <v>7</v>
      </c>
      <c r="B15" s="15" t="s">
        <v>8</v>
      </c>
      <c r="C15" s="49" t="s">
        <v>9</v>
      </c>
      <c r="D15" s="49"/>
      <c r="E15" s="49" t="s">
        <v>10</v>
      </c>
      <c r="F15" s="49"/>
      <c r="G15" s="16" t="s">
        <v>11</v>
      </c>
      <c r="H15" s="16" t="s">
        <v>37</v>
      </c>
      <c r="I15" s="17">
        <v>46106</v>
      </c>
      <c r="J15" s="17">
        <v>46107</v>
      </c>
      <c r="K15" s="17">
        <v>46108</v>
      </c>
      <c r="L15" s="17">
        <v>46109</v>
      </c>
      <c r="M15" s="17">
        <v>46110</v>
      </c>
      <c r="N15" s="17">
        <v>46111</v>
      </c>
      <c r="O15" s="17">
        <v>46112</v>
      </c>
      <c r="P15" s="17">
        <v>46113</v>
      </c>
      <c r="Q15" s="17">
        <v>46114</v>
      </c>
      <c r="R15" s="17">
        <v>46115</v>
      </c>
      <c r="S15" s="17">
        <v>46116</v>
      </c>
      <c r="T15" s="17">
        <v>46117</v>
      </c>
      <c r="U15" s="17">
        <v>46118</v>
      </c>
      <c r="V15" s="17">
        <v>46119</v>
      </c>
      <c r="W15" s="17">
        <v>46120</v>
      </c>
      <c r="X15" s="17">
        <v>46121</v>
      </c>
      <c r="Y15" s="17">
        <v>46122</v>
      </c>
      <c r="Z15" s="17">
        <v>46123</v>
      </c>
      <c r="AA15" s="17">
        <v>46124</v>
      </c>
      <c r="AB15" s="17">
        <v>46125</v>
      </c>
      <c r="AC15" s="17">
        <v>46126</v>
      </c>
      <c r="AD15" s="17">
        <v>46127</v>
      </c>
      <c r="AE15" s="17">
        <v>46128</v>
      </c>
    </row>
    <row r="16" spans="1:31" x14ac:dyDescent="0.25">
      <c r="A16" s="45" t="s">
        <v>4</v>
      </c>
      <c r="B16" s="41" t="s">
        <v>13</v>
      </c>
      <c r="C16" s="41"/>
      <c r="D16" s="41"/>
      <c r="E16" s="40" t="s">
        <v>36</v>
      </c>
      <c r="F16" s="40"/>
      <c r="G16" s="18">
        <f>H16-I16</f>
        <v>9</v>
      </c>
      <c r="H16" s="18">
        <v>9</v>
      </c>
      <c r="I16" s="19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</row>
    <row r="17" spans="1:31" x14ac:dyDescent="0.25">
      <c r="A17" s="45"/>
      <c r="B17" s="41" t="s">
        <v>14</v>
      </c>
      <c r="C17" s="41"/>
      <c r="D17" s="41"/>
      <c r="E17" s="40" t="s">
        <v>54</v>
      </c>
      <c r="F17" s="40"/>
      <c r="G17" s="18">
        <v>4</v>
      </c>
      <c r="H17" s="18">
        <v>5</v>
      </c>
      <c r="I17" s="18">
        <v>5</v>
      </c>
      <c r="J17" s="19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25">
      <c r="A18" s="45"/>
      <c r="B18" s="41"/>
      <c r="C18" s="41"/>
      <c r="D18" s="41"/>
      <c r="E18" s="40"/>
      <c r="F18" s="40"/>
      <c r="G18" s="18"/>
      <c r="H18" s="18"/>
      <c r="I18" s="18"/>
      <c r="J18" s="20">
        <v>1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 x14ac:dyDescent="0.25">
      <c r="A19" s="45"/>
      <c r="B19" s="41" t="s">
        <v>15</v>
      </c>
      <c r="C19" s="41"/>
      <c r="D19" s="41"/>
      <c r="E19" s="40" t="s">
        <v>55</v>
      </c>
      <c r="F19" s="40"/>
      <c r="G19" s="18">
        <f>H19-K19</f>
        <v>4</v>
      </c>
      <c r="H19" s="18">
        <v>4</v>
      </c>
      <c r="I19" s="18">
        <v>4</v>
      </c>
      <c r="J19" s="18">
        <v>4</v>
      </c>
      <c r="K19" s="19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25">
      <c r="A20" s="45"/>
      <c r="B20" s="45" t="s">
        <v>17</v>
      </c>
      <c r="C20" s="41" t="s">
        <v>56</v>
      </c>
      <c r="D20" s="41"/>
      <c r="E20" s="40" t="s">
        <v>54</v>
      </c>
      <c r="F20" s="40"/>
      <c r="G20" s="18">
        <v>2</v>
      </c>
      <c r="H20" s="18">
        <v>2</v>
      </c>
      <c r="I20" s="18">
        <v>2</v>
      </c>
      <c r="J20" s="18">
        <v>2</v>
      </c>
      <c r="K20" s="18">
        <v>2</v>
      </c>
      <c r="L20" s="19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25">
      <c r="A21" s="45"/>
      <c r="B21" s="45"/>
      <c r="C21" s="41" t="s">
        <v>16</v>
      </c>
      <c r="D21" s="41"/>
      <c r="E21" s="40" t="s">
        <v>69</v>
      </c>
      <c r="F21" s="40"/>
      <c r="G21" s="18">
        <v>1</v>
      </c>
      <c r="H21" s="18">
        <v>2</v>
      </c>
      <c r="I21" s="18">
        <v>2</v>
      </c>
      <c r="J21" s="18">
        <v>2</v>
      </c>
      <c r="K21" s="18">
        <v>2</v>
      </c>
      <c r="L21" s="19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25">
      <c r="A22" s="45"/>
      <c r="B22" s="45"/>
      <c r="C22" s="43"/>
      <c r="D22" s="44"/>
      <c r="E22" s="43"/>
      <c r="F22" s="44"/>
      <c r="G22" s="18"/>
      <c r="H22" s="18"/>
      <c r="I22" s="18"/>
      <c r="J22" s="18"/>
      <c r="K22" s="18"/>
      <c r="L22" s="20">
        <v>1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 x14ac:dyDescent="0.25">
      <c r="A23" s="45"/>
      <c r="B23" s="45"/>
      <c r="C23" s="41" t="s">
        <v>57</v>
      </c>
      <c r="D23" s="41"/>
      <c r="E23" s="40" t="s">
        <v>47</v>
      </c>
      <c r="F23" s="40"/>
      <c r="G23" s="18">
        <v>4</v>
      </c>
      <c r="H23" s="18">
        <v>2</v>
      </c>
      <c r="I23" s="18">
        <v>2</v>
      </c>
      <c r="J23" s="18">
        <v>2</v>
      </c>
      <c r="K23" s="18">
        <v>2</v>
      </c>
      <c r="L23" s="19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25">
      <c r="A24" s="45"/>
      <c r="B24" s="45"/>
      <c r="C24" s="43"/>
      <c r="D24" s="44"/>
      <c r="E24" s="43"/>
      <c r="F24" s="44"/>
      <c r="G24" s="18"/>
      <c r="H24" s="18"/>
      <c r="I24" s="18"/>
      <c r="J24" s="18"/>
      <c r="K24" s="18"/>
      <c r="L24" s="34">
        <v>2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 x14ac:dyDescent="0.25">
      <c r="A25" s="45"/>
      <c r="B25" s="45"/>
      <c r="C25" s="46" t="s">
        <v>58</v>
      </c>
      <c r="D25" s="48"/>
      <c r="E25" s="40" t="s">
        <v>70</v>
      </c>
      <c r="F25" s="40"/>
      <c r="G25" s="18">
        <v>1</v>
      </c>
      <c r="H25" s="18">
        <v>2</v>
      </c>
      <c r="I25" s="18">
        <v>2</v>
      </c>
      <c r="J25" s="18">
        <v>2</v>
      </c>
      <c r="K25" s="18">
        <v>2</v>
      </c>
      <c r="L25" s="19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25">
      <c r="A26" s="45"/>
      <c r="B26" s="45"/>
      <c r="C26" s="43"/>
      <c r="D26" s="44"/>
      <c r="E26" s="43"/>
      <c r="F26" s="44"/>
      <c r="G26" s="18"/>
      <c r="H26" s="18"/>
      <c r="I26" s="18"/>
      <c r="J26" s="18"/>
      <c r="K26" s="18"/>
      <c r="L26" s="20">
        <v>1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 x14ac:dyDescent="0.25">
      <c r="A27" s="45"/>
      <c r="B27" s="45"/>
      <c r="C27" s="41" t="s">
        <v>59</v>
      </c>
      <c r="D27" s="41"/>
      <c r="E27" s="40" t="s">
        <v>55</v>
      </c>
      <c r="F27" s="40"/>
      <c r="G27" s="18">
        <v>4</v>
      </c>
      <c r="H27" s="18">
        <v>2</v>
      </c>
      <c r="I27" s="18">
        <v>2</v>
      </c>
      <c r="J27" s="18">
        <v>2</v>
      </c>
      <c r="K27" s="18">
        <v>1</v>
      </c>
      <c r="L27" s="19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25">
      <c r="A28" s="45"/>
      <c r="B28" s="45"/>
      <c r="C28" s="43"/>
      <c r="D28" s="44"/>
      <c r="E28" s="43"/>
      <c r="F28" s="44"/>
      <c r="G28" s="18"/>
      <c r="H28" s="18"/>
      <c r="I28" s="18"/>
      <c r="J28" s="18"/>
      <c r="K28" s="18"/>
      <c r="L28" s="34">
        <v>2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 x14ac:dyDescent="0.25">
      <c r="A29" s="45"/>
      <c r="B29" s="45"/>
      <c r="C29" s="41" t="s">
        <v>60</v>
      </c>
      <c r="D29" s="41"/>
      <c r="E29" s="40" t="s">
        <v>47</v>
      </c>
      <c r="F29" s="40"/>
      <c r="G29" s="18">
        <v>2</v>
      </c>
      <c r="H29" s="18">
        <v>2</v>
      </c>
      <c r="I29" s="18">
        <v>2</v>
      </c>
      <c r="J29" s="18">
        <v>2</v>
      </c>
      <c r="K29" s="18">
        <v>2</v>
      </c>
      <c r="L29" s="18">
        <v>2</v>
      </c>
      <c r="M29" s="19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</row>
    <row r="30" spans="1:31" x14ac:dyDescent="0.25">
      <c r="A30" s="45"/>
      <c r="B30" s="45"/>
      <c r="C30" s="46" t="s">
        <v>61</v>
      </c>
      <c r="D30" s="48"/>
      <c r="E30" s="43" t="s">
        <v>54</v>
      </c>
      <c r="F30" s="44"/>
      <c r="G30" s="18">
        <v>2</v>
      </c>
      <c r="H30" s="18">
        <v>2</v>
      </c>
      <c r="I30" s="18">
        <v>2</v>
      </c>
      <c r="J30" s="18">
        <v>2</v>
      </c>
      <c r="K30" s="18">
        <v>2</v>
      </c>
      <c r="L30" s="18">
        <v>2</v>
      </c>
      <c r="M30" s="19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</row>
    <row r="31" spans="1:31" x14ac:dyDescent="0.25">
      <c r="A31" s="45"/>
      <c r="B31" s="45"/>
      <c r="C31" s="46" t="s">
        <v>62</v>
      </c>
      <c r="D31" s="48"/>
      <c r="E31" s="43" t="s">
        <v>69</v>
      </c>
      <c r="F31" s="44"/>
      <c r="G31" s="18">
        <v>2</v>
      </c>
      <c r="H31" s="18">
        <v>2</v>
      </c>
      <c r="I31" s="18">
        <v>2</v>
      </c>
      <c r="J31" s="18">
        <v>2</v>
      </c>
      <c r="K31" s="18">
        <v>2</v>
      </c>
      <c r="L31" s="18">
        <v>1</v>
      </c>
      <c r="M31" s="19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</row>
    <row r="32" spans="1:31" x14ac:dyDescent="0.25">
      <c r="A32" s="45"/>
      <c r="B32" s="45"/>
      <c r="C32" s="46" t="s">
        <v>63</v>
      </c>
      <c r="D32" s="48"/>
      <c r="E32" s="43" t="s">
        <v>70</v>
      </c>
      <c r="F32" s="44"/>
      <c r="G32" s="18">
        <v>2</v>
      </c>
      <c r="H32" s="18">
        <v>2</v>
      </c>
      <c r="I32" s="18">
        <v>2</v>
      </c>
      <c r="J32" s="18">
        <v>2</v>
      </c>
      <c r="K32" s="18">
        <v>2</v>
      </c>
      <c r="L32" s="18">
        <v>1</v>
      </c>
      <c r="M32" s="19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</row>
    <row r="33" spans="1:31" x14ac:dyDescent="0.25">
      <c r="A33" s="45"/>
      <c r="B33" s="45"/>
      <c r="C33" s="46" t="s">
        <v>64</v>
      </c>
      <c r="D33" s="48"/>
      <c r="E33" s="43" t="s">
        <v>55</v>
      </c>
      <c r="F33" s="44"/>
      <c r="G33" s="18">
        <v>2</v>
      </c>
      <c r="H33" s="18">
        <v>2</v>
      </c>
      <c r="I33" s="18">
        <v>2</v>
      </c>
      <c r="J33" s="18">
        <v>2</v>
      </c>
      <c r="K33" s="18">
        <v>2</v>
      </c>
      <c r="L33" s="18">
        <v>1</v>
      </c>
      <c r="M33" s="19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</row>
    <row r="34" spans="1:31" x14ac:dyDescent="0.25">
      <c r="A34" s="45"/>
      <c r="B34" s="45"/>
      <c r="C34" s="46" t="s">
        <v>65</v>
      </c>
      <c r="D34" s="48"/>
      <c r="E34" s="43" t="s">
        <v>55</v>
      </c>
      <c r="F34" s="44"/>
      <c r="G34" s="18">
        <v>2</v>
      </c>
      <c r="H34" s="18">
        <v>2</v>
      </c>
      <c r="I34" s="18">
        <v>2</v>
      </c>
      <c r="J34" s="18">
        <v>2</v>
      </c>
      <c r="K34" s="18">
        <v>2</v>
      </c>
      <c r="L34" s="18">
        <v>2</v>
      </c>
      <c r="M34" s="18">
        <v>2</v>
      </c>
      <c r="N34" s="19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</row>
    <row r="35" spans="1:31" x14ac:dyDescent="0.25">
      <c r="A35" s="45"/>
      <c r="B35" s="45"/>
      <c r="C35" s="46" t="s">
        <v>66</v>
      </c>
      <c r="D35" s="48"/>
      <c r="E35" s="43" t="s">
        <v>69</v>
      </c>
      <c r="F35" s="44"/>
      <c r="G35" s="18">
        <v>3</v>
      </c>
      <c r="H35" s="18">
        <v>2</v>
      </c>
      <c r="I35" s="18">
        <v>2</v>
      </c>
      <c r="J35" s="18">
        <v>2</v>
      </c>
      <c r="K35" s="18">
        <v>2</v>
      </c>
      <c r="L35" s="18">
        <v>2</v>
      </c>
      <c r="M35" s="18">
        <v>2</v>
      </c>
      <c r="N35" s="19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</row>
    <row r="36" spans="1:31" x14ac:dyDescent="0.25">
      <c r="A36" s="45"/>
      <c r="B36" s="45"/>
      <c r="C36" s="43"/>
      <c r="D36" s="44"/>
      <c r="E36" s="43"/>
      <c r="F36" s="44"/>
      <c r="G36" s="18"/>
      <c r="H36" s="18"/>
      <c r="I36" s="18"/>
      <c r="J36" s="18"/>
      <c r="K36" s="18"/>
      <c r="L36" s="18"/>
      <c r="M36" s="18"/>
      <c r="N36" s="34">
        <v>1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 x14ac:dyDescent="0.25">
      <c r="A37" s="45"/>
      <c r="B37" s="45"/>
      <c r="C37" s="46" t="s">
        <v>67</v>
      </c>
      <c r="D37" s="48"/>
      <c r="E37" s="43" t="s">
        <v>54</v>
      </c>
      <c r="F37" s="44"/>
      <c r="G37" s="18">
        <v>2</v>
      </c>
      <c r="H37" s="18">
        <v>2</v>
      </c>
      <c r="I37" s="18">
        <v>2</v>
      </c>
      <c r="J37" s="18">
        <v>2</v>
      </c>
      <c r="K37" s="18">
        <v>2</v>
      </c>
      <c r="L37" s="18">
        <v>2</v>
      </c>
      <c r="M37" s="18">
        <v>2</v>
      </c>
      <c r="N37" s="19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</row>
    <row r="38" spans="1:31" x14ac:dyDescent="0.25">
      <c r="A38" s="45"/>
      <c r="B38" s="45"/>
      <c r="C38" s="46" t="s">
        <v>68</v>
      </c>
      <c r="D38" s="48"/>
      <c r="E38" s="43" t="s">
        <v>47</v>
      </c>
      <c r="F38" s="44"/>
      <c r="G38" s="18">
        <v>2</v>
      </c>
      <c r="H38" s="18">
        <v>2</v>
      </c>
      <c r="I38" s="18">
        <v>2</v>
      </c>
      <c r="J38" s="18">
        <v>2</v>
      </c>
      <c r="K38" s="18">
        <v>2</v>
      </c>
      <c r="L38" s="18">
        <v>2</v>
      </c>
      <c r="M38" s="18">
        <v>2</v>
      </c>
      <c r="N38" s="19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</row>
    <row r="39" spans="1:31" x14ac:dyDescent="0.25">
      <c r="A39" s="45"/>
      <c r="B39" s="45"/>
      <c r="C39" s="41" t="s">
        <v>19</v>
      </c>
      <c r="D39" s="41"/>
      <c r="E39" s="40" t="s">
        <v>36</v>
      </c>
      <c r="F39" s="40"/>
      <c r="G39" s="18">
        <v>10</v>
      </c>
      <c r="H39" s="18">
        <v>10</v>
      </c>
      <c r="I39" s="18">
        <v>10</v>
      </c>
      <c r="J39" s="18">
        <v>10</v>
      </c>
      <c r="K39" s="18">
        <v>10</v>
      </c>
      <c r="L39" s="18">
        <v>10</v>
      </c>
      <c r="M39" s="18">
        <v>10</v>
      </c>
      <c r="N39" s="18">
        <v>10</v>
      </c>
      <c r="O39" s="19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</row>
    <row r="40" spans="1:31" x14ac:dyDescent="0.25">
      <c r="A40" s="45"/>
      <c r="B40" s="45" t="s">
        <v>20</v>
      </c>
      <c r="C40" s="41" t="s">
        <v>71</v>
      </c>
      <c r="D40" s="41"/>
      <c r="E40" s="40" t="s">
        <v>54</v>
      </c>
      <c r="F40" s="40"/>
      <c r="G40" s="18">
        <v>2</v>
      </c>
      <c r="H40" s="18">
        <v>2</v>
      </c>
      <c r="I40" s="18">
        <v>2</v>
      </c>
      <c r="J40" s="18">
        <v>2</v>
      </c>
      <c r="K40" s="18">
        <v>2</v>
      </c>
      <c r="L40" s="18">
        <v>2</v>
      </c>
      <c r="M40" s="18">
        <v>2</v>
      </c>
      <c r="N40" s="18">
        <v>2</v>
      </c>
      <c r="O40" s="18">
        <v>2</v>
      </c>
      <c r="P40" s="19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</row>
    <row r="41" spans="1:31" x14ac:dyDescent="0.25">
      <c r="A41" s="45"/>
      <c r="B41" s="45"/>
      <c r="C41" s="41" t="s">
        <v>72</v>
      </c>
      <c r="D41" s="41"/>
      <c r="E41" s="40" t="s">
        <v>69</v>
      </c>
      <c r="F41" s="40"/>
      <c r="G41" s="18">
        <v>2</v>
      </c>
      <c r="H41" s="18">
        <v>2</v>
      </c>
      <c r="I41" s="18">
        <v>2</v>
      </c>
      <c r="J41" s="18">
        <v>2</v>
      </c>
      <c r="K41" s="18">
        <v>2</v>
      </c>
      <c r="L41" s="18">
        <v>2</v>
      </c>
      <c r="M41" s="18">
        <v>2</v>
      </c>
      <c r="N41" s="18">
        <v>2</v>
      </c>
      <c r="O41" s="18">
        <v>2</v>
      </c>
      <c r="P41" s="19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</row>
    <row r="42" spans="1:31" x14ac:dyDescent="0.25">
      <c r="A42" s="45"/>
      <c r="B42" s="45"/>
      <c r="C42" s="41" t="s">
        <v>73</v>
      </c>
      <c r="D42" s="41"/>
      <c r="E42" s="40" t="s">
        <v>47</v>
      </c>
      <c r="F42" s="40"/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9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</row>
    <row r="43" spans="1:31" x14ac:dyDescent="0.25">
      <c r="A43" s="45"/>
      <c r="B43" s="45"/>
      <c r="C43" s="41" t="s">
        <v>74</v>
      </c>
      <c r="D43" s="41"/>
      <c r="E43" s="40" t="s">
        <v>70</v>
      </c>
      <c r="F43" s="40"/>
      <c r="G43" s="18">
        <v>2</v>
      </c>
      <c r="H43" s="18">
        <v>2</v>
      </c>
      <c r="I43" s="18">
        <v>2</v>
      </c>
      <c r="J43" s="18">
        <v>2</v>
      </c>
      <c r="K43" s="18">
        <v>2</v>
      </c>
      <c r="L43" s="18">
        <v>2</v>
      </c>
      <c r="M43" s="18">
        <v>2</v>
      </c>
      <c r="N43" s="18">
        <v>2</v>
      </c>
      <c r="O43" s="18">
        <v>2</v>
      </c>
      <c r="P43" s="19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</row>
    <row r="44" spans="1:31" x14ac:dyDescent="0.25">
      <c r="A44" s="45"/>
      <c r="B44" s="45"/>
      <c r="C44" s="41" t="s">
        <v>75</v>
      </c>
      <c r="D44" s="41"/>
      <c r="E44" s="40" t="s">
        <v>55</v>
      </c>
      <c r="F44" s="40"/>
      <c r="G44" s="18">
        <v>2</v>
      </c>
      <c r="H44" s="18">
        <v>2</v>
      </c>
      <c r="I44" s="18">
        <v>2</v>
      </c>
      <c r="J44" s="18">
        <v>2</v>
      </c>
      <c r="K44" s="18">
        <v>2</v>
      </c>
      <c r="L44" s="18">
        <v>2</v>
      </c>
      <c r="M44" s="18">
        <v>2</v>
      </c>
      <c r="N44" s="18">
        <v>2</v>
      </c>
      <c r="O44" s="18">
        <v>2</v>
      </c>
      <c r="P44" s="19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</row>
    <row r="45" spans="1:31" x14ac:dyDescent="0.25">
      <c r="A45" s="45"/>
      <c r="B45" s="45"/>
      <c r="C45" s="41" t="s">
        <v>76</v>
      </c>
      <c r="D45" s="41"/>
      <c r="E45" s="40" t="s">
        <v>47</v>
      </c>
      <c r="F45" s="40"/>
      <c r="G45" s="18">
        <v>2</v>
      </c>
      <c r="H45" s="18">
        <v>2</v>
      </c>
      <c r="I45" s="18">
        <v>2</v>
      </c>
      <c r="J45" s="18">
        <v>2</v>
      </c>
      <c r="K45" s="18">
        <v>2</v>
      </c>
      <c r="L45" s="18">
        <v>2</v>
      </c>
      <c r="M45" s="18">
        <v>2</v>
      </c>
      <c r="N45" s="18">
        <v>2</v>
      </c>
      <c r="O45" s="18">
        <v>2</v>
      </c>
      <c r="P45" s="19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</row>
    <row r="46" spans="1:31" x14ac:dyDescent="0.25">
      <c r="A46" s="45"/>
      <c r="B46" s="45"/>
      <c r="C46" s="41" t="s">
        <v>77</v>
      </c>
      <c r="D46" s="41"/>
      <c r="E46" s="43" t="s">
        <v>54</v>
      </c>
      <c r="F46" s="44"/>
      <c r="G46" s="18">
        <v>5</v>
      </c>
      <c r="H46" s="18">
        <v>2</v>
      </c>
      <c r="I46" s="18">
        <v>2</v>
      </c>
      <c r="J46" s="18">
        <v>2</v>
      </c>
      <c r="K46" s="18">
        <v>2</v>
      </c>
      <c r="L46" s="18">
        <v>2</v>
      </c>
      <c r="M46" s="18">
        <v>2</v>
      </c>
      <c r="N46" s="18">
        <v>2</v>
      </c>
      <c r="O46" s="18">
        <v>2</v>
      </c>
      <c r="P46" s="19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</row>
    <row r="47" spans="1:31" x14ac:dyDescent="0.25">
      <c r="A47" s="45"/>
      <c r="B47" s="45"/>
      <c r="C47" s="43"/>
      <c r="D47" s="44"/>
      <c r="E47" s="43"/>
      <c r="F47" s="44"/>
      <c r="G47" s="18"/>
      <c r="H47" s="18"/>
      <c r="I47" s="18"/>
      <c r="J47" s="18"/>
      <c r="K47" s="18"/>
      <c r="L47" s="18"/>
      <c r="M47" s="18"/>
      <c r="N47" s="18"/>
      <c r="O47" s="18"/>
      <c r="P47" s="34">
        <v>3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</row>
    <row r="48" spans="1:31" x14ac:dyDescent="0.25">
      <c r="A48" s="45"/>
      <c r="B48" s="45"/>
      <c r="C48" s="46" t="s">
        <v>78</v>
      </c>
      <c r="D48" s="48"/>
      <c r="E48" s="43" t="s">
        <v>69</v>
      </c>
      <c r="F48" s="44"/>
      <c r="G48" s="18">
        <v>2</v>
      </c>
      <c r="H48" s="18">
        <v>2</v>
      </c>
      <c r="I48" s="18">
        <v>2</v>
      </c>
      <c r="J48" s="18">
        <v>2</v>
      </c>
      <c r="K48" s="18">
        <v>2</v>
      </c>
      <c r="L48" s="18">
        <v>2</v>
      </c>
      <c r="M48" s="18">
        <v>2</v>
      </c>
      <c r="N48" s="18">
        <v>2</v>
      </c>
      <c r="O48" s="18">
        <v>2</v>
      </c>
      <c r="P48" s="19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</row>
    <row r="49" spans="1:31" x14ac:dyDescent="0.25">
      <c r="A49" s="45"/>
      <c r="B49" s="45"/>
      <c r="C49" s="46" t="s">
        <v>79</v>
      </c>
      <c r="D49" s="48"/>
      <c r="E49" s="43" t="s">
        <v>70</v>
      </c>
      <c r="F49" s="44"/>
      <c r="G49" s="18">
        <v>2</v>
      </c>
      <c r="H49" s="18">
        <v>2</v>
      </c>
      <c r="I49" s="18">
        <v>2</v>
      </c>
      <c r="J49" s="18">
        <v>2</v>
      </c>
      <c r="K49" s="18">
        <v>2</v>
      </c>
      <c r="L49" s="18">
        <v>2</v>
      </c>
      <c r="M49" s="18">
        <v>2</v>
      </c>
      <c r="N49" s="18">
        <v>2</v>
      </c>
      <c r="O49" s="18">
        <v>2</v>
      </c>
      <c r="P49" s="19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</row>
    <row r="50" spans="1:31" x14ac:dyDescent="0.25">
      <c r="A50" s="45"/>
      <c r="B50" s="45"/>
      <c r="C50" s="46" t="s">
        <v>80</v>
      </c>
      <c r="D50" s="48"/>
      <c r="E50" s="43" t="s">
        <v>55</v>
      </c>
      <c r="F50" s="44"/>
      <c r="G50" s="18">
        <v>5</v>
      </c>
      <c r="H50" s="18">
        <v>2</v>
      </c>
      <c r="I50" s="18">
        <v>2</v>
      </c>
      <c r="J50" s="18">
        <v>2</v>
      </c>
      <c r="K50" s="18">
        <v>2</v>
      </c>
      <c r="L50" s="18">
        <v>2</v>
      </c>
      <c r="M50" s="18">
        <v>2</v>
      </c>
      <c r="N50" s="18">
        <v>2</v>
      </c>
      <c r="O50" s="18">
        <v>2</v>
      </c>
      <c r="P50" s="19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</row>
    <row r="51" spans="1:31" x14ac:dyDescent="0.25">
      <c r="A51" s="45"/>
      <c r="B51" s="45"/>
      <c r="C51" s="43"/>
      <c r="D51" s="44"/>
      <c r="E51" s="43"/>
      <c r="F51" s="44"/>
      <c r="G51" s="18"/>
      <c r="H51" s="18"/>
      <c r="I51" s="18"/>
      <c r="J51" s="18"/>
      <c r="K51" s="18"/>
      <c r="L51" s="18"/>
      <c r="M51" s="18"/>
      <c r="N51" s="18"/>
      <c r="O51" s="18"/>
      <c r="P51" s="34">
        <v>3</v>
      </c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</row>
    <row r="52" spans="1:31" x14ac:dyDescent="0.25">
      <c r="A52" s="45"/>
      <c r="B52" s="45"/>
      <c r="C52" s="46" t="s">
        <v>81</v>
      </c>
      <c r="D52" s="48"/>
      <c r="E52" s="43" t="s">
        <v>55</v>
      </c>
      <c r="F52" s="44"/>
      <c r="G52" s="18">
        <v>6</v>
      </c>
      <c r="H52" s="18">
        <v>2</v>
      </c>
      <c r="I52" s="18">
        <v>2</v>
      </c>
      <c r="J52" s="18">
        <v>2</v>
      </c>
      <c r="K52" s="18">
        <v>2</v>
      </c>
      <c r="L52" s="18">
        <v>2</v>
      </c>
      <c r="M52" s="18">
        <v>2</v>
      </c>
      <c r="N52" s="18">
        <v>2</v>
      </c>
      <c r="O52" s="18">
        <v>2</v>
      </c>
      <c r="P52" s="19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</row>
    <row r="53" spans="1:31" x14ac:dyDescent="0.25">
      <c r="A53" s="45"/>
      <c r="B53" s="45"/>
      <c r="C53" s="43"/>
      <c r="D53" s="44"/>
      <c r="E53" s="43"/>
      <c r="F53" s="44"/>
      <c r="G53" s="18"/>
      <c r="H53" s="18"/>
      <c r="I53" s="18"/>
      <c r="J53" s="18"/>
      <c r="K53" s="18"/>
      <c r="L53" s="18"/>
      <c r="M53" s="18"/>
      <c r="N53" s="18"/>
      <c r="O53" s="18"/>
      <c r="P53" s="34">
        <v>4</v>
      </c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</row>
    <row r="54" spans="1:31" x14ac:dyDescent="0.25">
      <c r="A54" s="45"/>
      <c r="B54" s="45"/>
      <c r="C54" s="46" t="s">
        <v>82</v>
      </c>
      <c r="D54" s="48"/>
      <c r="E54" s="43" t="s">
        <v>69</v>
      </c>
      <c r="F54" s="44"/>
      <c r="G54" s="18">
        <v>2</v>
      </c>
      <c r="H54" s="18">
        <v>2</v>
      </c>
      <c r="I54" s="18">
        <v>2</v>
      </c>
      <c r="J54" s="18">
        <v>2</v>
      </c>
      <c r="K54" s="18">
        <v>2</v>
      </c>
      <c r="L54" s="18">
        <v>2</v>
      </c>
      <c r="M54" s="18">
        <v>2</v>
      </c>
      <c r="N54" s="18">
        <v>2</v>
      </c>
      <c r="O54" s="18">
        <v>2</v>
      </c>
      <c r="P54" s="19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</row>
    <row r="55" spans="1:31" x14ac:dyDescent="0.25">
      <c r="A55" s="45"/>
      <c r="B55" s="45"/>
      <c r="C55" s="46" t="s">
        <v>83</v>
      </c>
      <c r="D55" s="48"/>
      <c r="E55" s="43" t="s">
        <v>54</v>
      </c>
      <c r="F55" s="44"/>
      <c r="G55" s="18">
        <v>2</v>
      </c>
      <c r="H55" s="18">
        <v>2</v>
      </c>
      <c r="I55" s="18">
        <v>2</v>
      </c>
      <c r="J55" s="18">
        <v>2</v>
      </c>
      <c r="K55" s="18">
        <v>2</v>
      </c>
      <c r="L55" s="18">
        <v>2</v>
      </c>
      <c r="M55" s="18">
        <v>2</v>
      </c>
      <c r="N55" s="18">
        <v>2</v>
      </c>
      <c r="O55" s="18">
        <v>2</v>
      </c>
      <c r="P55" s="19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</row>
    <row r="56" spans="1:31" x14ac:dyDescent="0.25">
      <c r="A56" s="45"/>
      <c r="B56" s="45"/>
      <c r="C56" s="46" t="s">
        <v>84</v>
      </c>
      <c r="D56" s="48"/>
      <c r="E56" s="43" t="s">
        <v>47</v>
      </c>
      <c r="F56" s="44"/>
      <c r="G56" s="18">
        <v>4</v>
      </c>
      <c r="H56" s="18">
        <v>2</v>
      </c>
      <c r="I56" s="18">
        <v>2</v>
      </c>
      <c r="J56" s="18">
        <v>2</v>
      </c>
      <c r="K56" s="18">
        <v>2</v>
      </c>
      <c r="L56" s="18">
        <v>2</v>
      </c>
      <c r="M56" s="18">
        <v>2</v>
      </c>
      <c r="N56" s="18">
        <v>2</v>
      </c>
      <c r="O56" s="18">
        <v>2</v>
      </c>
      <c r="P56" s="19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</row>
    <row r="57" spans="1:31" x14ac:dyDescent="0.25">
      <c r="A57" s="45"/>
      <c r="B57" s="45"/>
      <c r="C57" s="46"/>
      <c r="D57" s="48"/>
      <c r="E57" s="40"/>
      <c r="F57" s="40"/>
      <c r="G57" s="18"/>
      <c r="H57" s="18"/>
      <c r="I57" s="18"/>
      <c r="J57" s="18"/>
      <c r="K57" s="18"/>
      <c r="L57" s="18"/>
      <c r="M57" s="18"/>
      <c r="N57" s="18"/>
      <c r="O57" s="18"/>
      <c r="P57" s="34">
        <v>2</v>
      </c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</row>
    <row r="58" spans="1:31" x14ac:dyDescent="0.25">
      <c r="A58" s="45"/>
      <c r="B58" s="45"/>
      <c r="C58" s="41" t="s">
        <v>18</v>
      </c>
      <c r="D58" s="41"/>
      <c r="E58" s="40" t="s">
        <v>36</v>
      </c>
      <c r="F58" s="40"/>
      <c r="G58" s="18">
        <v>8</v>
      </c>
      <c r="H58" s="18">
        <v>10</v>
      </c>
      <c r="I58" s="18">
        <v>10</v>
      </c>
      <c r="J58" s="18">
        <v>10</v>
      </c>
      <c r="K58" s="18">
        <v>10</v>
      </c>
      <c r="L58" s="18">
        <v>10</v>
      </c>
      <c r="M58" s="18">
        <v>10</v>
      </c>
      <c r="N58" s="18">
        <v>10</v>
      </c>
      <c r="O58" s="18">
        <v>10</v>
      </c>
      <c r="P58" s="18">
        <v>10</v>
      </c>
      <c r="Q58" s="19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</row>
    <row r="59" spans="1:31" x14ac:dyDescent="0.25">
      <c r="A59" s="45"/>
      <c r="B59" s="45"/>
      <c r="C59" s="41"/>
      <c r="D59" s="41"/>
      <c r="E59" s="40"/>
      <c r="F59" s="40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20">
        <v>2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</row>
    <row r="60" spans="1:31" x14ac:dyDescent="0.25">
      <c r="A60" s="45"/>
      <c r="B60" s="45" t="s">
        <v>23</v>
      </c>
      <c r="C60" s="41" t="s">
        <v>188</v>
      </c>
      <c r="D60" s="41"/>
      <c r="E60" s="40" t="s">
        <v>54</v>
      </c>
      <c r="F60" s="40"/>
      <c r="G60" s="18">
        <v>2</v>
      </c>
      <c r="H60" s="18">
        <v>3</v>
      </c>
      <c r="I60" s="18">
        <v>3</v>
      </c>
      <c r="J60" s="18">
        <v>3</v>
      </c>
      <c r="K60" s="18">
        <v>3</v>
      </c>
      <c r="L60" s="18">
        <v>3</v>
      </c>
      <c r="M60" s="18">
        <v>3</v>
      </c>
      <c r="N60" s="18">
        <v>3</v>
      </c>
      <c r="O60" s="18">
        <v>3</v>
      </c>
      <c r="P60" s="18">
        <v>3</v>
      </c>
      <c r="Q60" s="18">
        <v>3</v>
      </c>
      <c r="R60" s="19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</row>
    <row r="61" spans="1:31" x14ac:dyDescent="0.25">
      <c r="A61" s="45"/>
      <c r="B61" s="45"/>
      <c r="C61" s="43"/>
      <c r="D61" s="44"/>
      <c r="E61" s="43"/>
      <c r="F61" s="44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20">
        <v>1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</row>
    <row r="62" spans="1:31" x14ac:dyDescent="0.25">
      <c r="A62" s="45"/>
      <c r="B62" s="45"/>
      <c r="C62" s="41" t="s">
        <v>85</v>
      </c>
      <c r="D62" s="41"/>
      <c r="E62" s="40" t="s">
        <v>69</v>
      </c>
      <c r="F62" s="40"/>
      <c r="G62" s="18">
        <v>1</v>
      </c>
      <c r="H62" s="18">
        <v>3</v>
      </c>
      <c r="I62" s="18">
        <v>3</v>
      </c>
      <c r="J62" s="18">
        <v>3</v>
      </c>
      <c r="K62" s="18">
        <v>3</v>
      </c>
      <c r="L62" s="18">
        <v>3</v>
      </c>
      <c r="M62" s="18">
        <v>3</v>
      </c>
      <c r="N62" s="18">
        <v>3</v>
      </c>
      <c r="O62" s="18">
        <v>3</v>
      </c>
      <c r="P62" s="18">
        <v>3</v>
      </c>
      <c r="Q62" s="18">
        <v>3</v>
      </c>
      <c r="R62" s="19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</row>
    <row r="63" spans="1:31" x14ac:dyDescent="0.25">
      <c r="A63" s="45"/>
      <c r="B63" s="45"/>
      <c r="C63" s="43"/>
      <c r="D63" s="44"/>
      <c r="E63" s="43"/>
      <c r="F63" s="44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20">
        <v>2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</row>
    <row r="64" spans="1:31" x14ac:dyDescent="0.25">
      <c r="A64" s="45"/>
      <c r="B64" s="45"/>
      <c r="C64" s="41" t="s">
        <v>86</v>
      </c>
      <c r="D64" s="41"/>
      <c r="E64" s="40" t="s">
        <v>47</v>
      </c>
      <c r="F64" s="40"/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9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</row>
    <row r="65" spans="1:31" x14ac:dyDescent="0.25">
      <c r="A65" s="45"/>
      <c r="B65" s="45"/>
      <c r="C65" s="46" t="s">
        <v>87</v>
      </c>
      <c r="D65" s="48"/>
      <c r="E65" s="40" t="s">
        <v>70</v>
      </c>
      <c r="F65" s="40"/>
      <c r="G65" s="18">
        <v>2</v>
      </c>
      <c r="H65" s="18">
        <v>3</v>
      </c>
      <c r="I65" s="18">
        <v>3</v>
      </c>
      <c r="J65" s="18">
        <v>3</v>
      </c>
      <c r="K65" s="18">
        <v>3</v>
      </c>
      <c r="L65" s="18">
        <v>3</v>
      </c>
      <c r="M65" s="18">
        <v>3</v>
      </c>
      <c r="N65" s="18">
        <v>3</v>
      </c>
      <c r="O65" s="18">
        <v>3</v>
      </c>
      <c r="P65" s="18">
        <v>3</v>
      </c>
      <c r="Q65" s="18">
        <v>3</v>
      </c>
      <c r="R65" s="18">
        <v>2</v>
      </c>
      <c r="S65" s="19">
        <v>0</v>
      </c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</row>
    <row r="66" spans="1:31" x14ac:dyDescent="0.25">
      <c r="A66" s="45"/>
      <c r="B66" s="45"/>
      <c r="C66" s="43"/>
      <c r="D66" s="44"/>
      <c r="E66" s="43"/>
      <c r="F66" s="44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20">
        <v>1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 x14ac:dyDescent="0.25">
      <c r="A67" s="45"/>
      <c r="B67" s="45"/>
      <c r="C67" s="46" t="s">
        <v>88</v>
      </c>
      <c r="D67" s="48"/>
      <c r="E67" s="40" t="s">
        <v>55</v>
      </c>
      <c r="F67" s="40"/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9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</row>
    <row r="68" spans="1:31" x14ac:dyDescent="0.25">
      <c r="A68" s="45"/>
      <c r="B68" s="45"/>
      <c r="C68" s="46" t="s">
        <v>89</v>
      </c>
      <c r="D68" s="48"/>
      <c r="E68" s="40" t="s">
        <v>47</v>
      </c>
      <c r="F68" s="40"/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9">
        <v>0</v>
      </c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 x14ac:dyDescent="0.25">
      <c r="A69" s="45"/>
      <c r="B69" s="45"/>
      <c r="C69" s="46" t="s">
        <v>90</v>
      </c>
      <c r="D69" s="48"/>
      <c r="E69" s="40" t="s">
        <v>54</v>
      </c>
      <c r="F69" s="40"/>
      <c r="G69" s="18">
        <v>3</v>
      </c>
      <c r="H69" s="18">
        <v>3</v>
      </c>
      <c r="I69" s="18">
        <v>3</v>
      </c>
      <c r="J69" s="18">
        <v>3</v>
      </c>
      <c r="K69" s="18">
        <v>3</v>
      </c>
      <c r="L69" s="18">
        <v>3</v>
      </c>
      <c r="M69" s="18">
        <v>3</v>
      </c>
      <c r="N69" s="18">
        <v>3</v>
      </c>
      <c r="O69" s="18">
        <v>3</v>
      </c>
      <c r="P69" s="18">
        <v>3</v>
      </c>
      <c r="Q69" s="18">
        <v>3</v>
      </c>
      <c r="R69" s="18">
        <v>2</v>
      </c>
      <c r="S69" s="18">
        <v>1</v>
      </c>
      <c r="T69" s="19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</row>
    <row r="70" spans="1:31" x14ac:dyDescent="0.25">
      <c r="A70" s="45"/>
      <c r="B70" s="45"/>
      <c r="C70" s="46" t="s">
        <v>91</v>
      </c>
      <c r="D70" s="48"/>
      <c r="E70" s="40" t="s">
        <v>69</v>
      </c>
      <c r="F70" s="40"/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9">
        <v>0</v>
      </c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 x14ac:dyDescent="0.25">
      <c r="A71" s="45"/>
      <c r="B71" s="45"/>
      <c r="C71" s="46" t="s">
        <v>92</v>
      </c>
      <c r="D71" s="48"/>
      <c r="E71" s="40" t="s">
        <v>70</v>
      </c>
      <c r="F71" s="40"/>
      <c r="G71" s="18">
        <v>3</v>
      </c>
      <c r="H71" s="18">
        <v>3</v>
      </c>
      <c r="I71" s="18">
        <v>3</v>
      </c>
      <c r="J71" s="18">
        <v>3</v>
      </c>
      <c r="K71" s="18">
        <v>3</v>
      </c>
      <c r="L71" s="18">
        <v>3</v>
      </c>
      <c r="M71" s="18">
        <v>3</v>
      </c>
      <c r="N71" s="18">
        <v>3</v>
      </c>
      <c r="O71" s="18">
        <v>3</v>
      </c>
      <c r="P71" s="18">
        <v>3</v>
      </c>
      <c r="Q71" s="18">
        <v>3</v>
      </c>
      <c r="R71" s="18">
        <v>2</v>
      </c>
      <c r="S71" s="18">
        <v>2</v>
      </c>
      <c r="T71" s="19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</row>
    <row r="72" spans="1:31" x14ac:dyDescent="0.25">
      <c r="A72" s="45"/>
      <c r="B72" s="45"/>
      <c r="C72" s="46" t="s">
        <v>93</v>
      </c>
      <c r="D72" s="48"/>
      <c r="E72" s="40" t="s">
        <v>55</v>
      </c>
      <c r="F72" s="40"/>
      <c r="G72" s="18">
        <v>5</v>
      </c>
      <c r="H72" s="18">
        <v>3</v>
      </c>
      <c r="I72" s="18">
        <v>3</v>
      </c>
      <c r="J72" s="18">
        <v>3</v>
      </c>
      <c r="K72" s="18">
        <v>3</v>
      </c>
      <c r="L72" s="18">
        <v>3</v>
      </c>
      <c r="M72" s="18">
        <v>3</v>
      </c>
      <c r="N72" s="18">
        <v>3</v>
      </c>
      <c r="O72" s="18">
        <v>3</v>
      </c>
      <c r="P72" s="18">
        <v>3</v>
      </c>
      <c r="Q72" s="18">
        <v>3</v>
      </c>
      <c r="R72" s="18">
        <v>2</v>
      </c>
      <c r="S72" s="18">
        <v>1</v>
      </c>
      <c r="T72" s="18">
        <v>1</v>
      </c>
      <c r="U72" s="19">
        <v>0</v>
      </c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 x14ac:dyDescent="0.25">
      <c r="A73" s="45"/>
      <c r="B73" s="45"/>
      <c r="C73" s="43"/>
      <c r="D73" s="44"/>
      <c r="E73" s="43"/>
      <c r="F73" s="44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34">
        <v>2</v>
      </c>
      <c r="V73" s="18"/>
      <c r="W73" s="18"/>
      <c r="X73" s="18"/>
      <c r="Y73" s="18"/>
      <c r="Z73" s="18"/>
      <c r="AA73" s="18"/>
      <c r="AB73" s="18"/>
      <c r="AC73" s="18"/>
      <c r="AD73" s="18"/>
      <c r="AE73" s="18"/>
    </row>
    <row r="74" spans="1:31" x14ac:dyDescent="0.25">
      <c r="A74" s="45"/>
      <c r="B74" s="45"/>
      <c r="C74" s="46" t="s">
        <v>94</v>
      </c>
      <c r="D74" s="48"/>
      <c r="E74" s="40" t="s">
        <v>55</v>
      </c>
      <c r="F74" s="40"/>
      <c r="G74" s="18">
        <v>5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2</v>
      </c>
      <c r="T74" s="18">
        <v>2</v>
      </c>
      <c r="U74" s="19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</row>
    <row r="75" spans="1:31" x14ac:dyDescent="0.25">
      <c r="A75" s="45"/>
      <c r="B75" s="45"/>
      <c r="C75" s="43"/>
      <c r="D75" s="44"/>
      <c r="E75" s="43"/>
      <c r="F75" s="44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34">
        <v>2</v>
      </c>
      <c r="V75" s="18"/>
      <c r="W75" s="18"/>
      <c r="X75" s="18"/>
      <c r="Y75" s="18"/>
      <c r="Z75" s="18"/>
      <c r="AA75" s="18"/>
      <c r="AB75" s="18"/>
      <c r="AC75" s="18"/>
      <c r="AD75" s="18"/>
      <c r="AE75" s="18"/>
    </row>
    <row r="76" spans="1:31" x14ac:dyDescent="0.25">
      <c r="A76" s="45"/>
      <c r="B76" s="45"/>
      <c r="C76" s="46" t="s">
        <v>95</v>
      </c>
      <c r="D76" s="48"/>
      <c r="E76" s="40" t="s">
        <v>69</v>
      </c>
      <c r="F76" s="40"/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2</v>
      </c>
      <c r="S76" s="18">
        <v>2</v>
      </c>
      <c r="T76" s="18">
        <v>2</v>
      </c>
      <c r="U76" s="19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</row>
    <row r="77" spans="1:31" x14ac:dyDescent="0.25">
      <c r="A77" s="45"/>
      <c r="B77" s="45"/>
      <c r="C77" s="46" t="s">
        <v>96</v>
      </c>
      <c r="D77" s="48"/>
      <c r="E77" s="43" t="s">
        <v>54</v>
      </c>
      <c r="F77" s="44"/>
      <c r="G77" s="18">
        <v>3</v>
      </c>
      <c r="H77" s="18">
        <v>3</v>
      </c>
      <c r="I77" s="18">
        <v>3</v>
      </c>
      <c r="J77" s="18">
        <v>3</v>
      </c>
      <c r="K77" s="18">
        <v>3</v>
      </c>
      <c r="L77" s="18">
        <v>3</v>
      </c>
      <c r="M77" s="18">
        <v>3</v>
      </c>
      <c r="N77" s="18">
        <v>3</v>
      </c>
      <c r="O77" s="18">
        <v>3</v>
      </c>
      <c r="P77" s="18">
        <v>3</v>
      </c>
      <c r="Q77" s="18">
        <v>3</v>
      </c>
      <c r="R77" s="18">
        <v>3</v>
      </c>
      <c r="S77" s="18">
        <v>3</v>
      </c>
      <c r="T77" s="18">
        <v>3</v>
      </c>
      <c r="U77" s="18">
        <v>3</v>
      </c>
      <c r="V77" s="19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</row>
    <row r="78" spans="1:31" x14ac:dyDescent="0.25">
      <c r="A78" s="45"/>
      <c r="B78" s="45"/>
      <c r="C78" s="46" t="s">
        <v>97</v>
      </c>
      <c r="D78" s="48"/>
      <c r="E78" s="43" t="s">
        <v>47</v>
      </c>
      <c r="F78" s="44"/>
      <c r="G78" s="18">
        <v>4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9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</row>
    <row r="79" spans="1:31" x14ac:dyDescent="0.25">
      <c r="A79" s="45"/>
      <c r="B79" s="45"/>
      <c r="C79" s="43"/>
      <c r="D79" s="44"/>
      <c r="E79" s="43"/>
      <c r="F79" s="44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34">
        <v>1</v>
      </c>
      <c r="W79" s="18"/>
      <c r="X79" s="18"/>
      <c r="Y79" s="18"/>
      <c r="Z79" s="18"/>
      <c r="AA79" s="18"/>
      <c r="AB79" s="18"/>
      <c r="AC79" s="18"/>
      <c r="AD79" s="18"/>
      <c r="AE79" s="18"/>
    </row>
    <row r="80" spans="1:31" x14ac:dyDescent="0.25">
      <c r="A80" s="45"/>
      <c r="B80" s="45"/>
      <c r="C80" s="41" t="s">
        <v>98</v>
      </c>
      <c r="D80" s="41"/>
      <c r="E80" s="43" t="s">
        <v>54</v>
      </c>
      <c r="F80" s="44"/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9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</row>
    <row r="81" spans="1:31" x14ac:dyDescent="0.25">
      <c r="A81" s="45"/>
      <c r="B81" s="45"/>
      <c r="C81" s="41" t="s">
        <v>21</v>
      </c>
      <c r="D81" s="41"/>
      <c r="E81" s="43" t="s">
        <v>69</v>
      </c>
      <c r="F81" s="44"/>
      <c r="G81" s="18">
        <v>5</v>
      </c>
      <c r="H81" s="18">
        <v>3</v>
      </c>
      <c r="I81" s="18">
        <v>3</v>
      </c>
      <c r="J81" s="18">
        <v>3</v>
      </c>
      <c r="K81" s="18">
        <v>3</v>
      </c>
      <c r="L81" s="18">
        <v>3</v>
      </c>
      <c r="M81" s="18">
        <v>3</v>
      </c>
      <c r="N81" s="18">
        <v>3</v>
      </c>
      <c r="O81" s="18">
        <v>3</v>
      </c>
      <c r="P81" s="18">
        <v>3</v>
      </c>
      <c r="Q81" s="18">
        <v>3</v>
      </c>
      <c r="R81" s="18">
        <v>3</v>
      </c>
      <c r="S81" s="18">
        <v>3</v>
      </c>
      <c r="T81" s="18">
        <v>3</v>
      </c>
      <c r="U81" s="18">
        <v>3</v>
      </c>
      <c r="V81" s="18">
        <v>3</v>
      </c>
      <c r="W81" s="19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</row>
    <row r="82" spans="1:31" x14ac:dyDescent="0.25">
      <c r="A82" s="45"/>
      <c r="B82" s="45"/>
      <c r="C82" s="43"/>
      <c r="D82" s="44"/>
      <c r="E82" s="43"/>
      <c r="F82" s="44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34">
        <v>2</v>
      </c>
      <c r="X82" s="18"/>
      <c r="Y82" s="18"/>
      <c r="Z82" s="18"/>
      <c r="AA82" s="18"/>
      <c r="AB82" s="18"/>
      <c r="AC82" s="18"/>
      <c r="AD82" s="18"/>
      <c r="AE82" s="18"/>
    </row>
    <row r="83" spans="1:31" x14ac:dyDescent="0.25">
      <c r="A83" s="45"/>
      <c r="B83" s="45"/>
      <c r="C83" s="41" t="s">
        <v>99</v>
      </c>
      <c r="D83" s="41"/>
      <c r="E83" s="43" t="s">
        <v>47</v>
      </c>
      <c r="F83" s="44"/>
      <c r="G83" s="18">
        <v>3</v>
      </c>
      <c r="H83" s="18">
        <v>3</v>
      </c>
      <c r="I83" s="18">
        <v>3</v>
      </c>
      <c r="J83" s="18">
        <v>3</v>
      </c>
      <c r="K83" s="18">
        <v>3</v>
      </c>
      <c r="L83" s="18">
        <v>3</v>
      </c>
      <c r="M83" s="18">
        <v>3</v>
      </c>
      <c r="N83" s="18">
        <v>3</v>
      </c>
      <c r="O83" s="18">
        <v>3</v>
      </c>
      <c r="P83" s="18">
        <v>3</v>
      </c>
      <c r="Q83" s="18">
        <v>3</v>
      </c>
      <c r="R83" s="18">
        <v>3</v>
      </c>
      <c r="S83" s="18">
        <v>3</v>
      </c>
      <c r="T83" s="18">
        <v>3</v>
      </c>
      <c r="U83" s="18">
        <v>3</v>
      </c>
      <c r="V83" s="18">
        <v>3</v>
      </c>
      <c r="W83" s="19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</row>
    <row r="84" spans="1:31" x14ac:dyDescent="0.25">
      <c r="A84" s="45"/>
      <c r="B84" s="45"/>
      <c r="C84" s="46" t="s">
        <v>100</v>
      </c>
      <c r="D84" s="48"/>
      <c r="E84" s="43" t="s">
        <v>70</v>
      </c>
      <c r="F84" s="44"/>
      <c r="G84" s="18">
        <v>4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9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x14ac:dyDescent="0.25">
      <c r="A85" s="45"/>
      <c r="B85" s="45"/>
      <c r="C85" s="43"/>
      <c r="D85" s="44"/>
      <c r="E85" s="43"/>
      <c r="F85" s="44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34">
        <v>1</v>
      </c>
      <c r="X85" s="18"/>
      <c r="Y85" s="18"/>
      <c r="Z85" s="18"/>
      <c r="AA85" s="18"/>
      <c r="AB85" s="18"/>
      <c r="AC85" s="18"/>
      <c r="AD85" s="18"/>
      <c r="AE85" s="18"/>
    </row>
    <row r="86" spans="1:31" x14ac:dyDescent="0.25">
      <c r="A86" s="45"/>
      <c r="B86" s="45"/>
      <c r="C86" s="46" t="s">
        <v>101</v>
      </c>
      <c r="D86" s="48"/>
      <c r="E86" s="43" t="s">
        <v>55</v>
      </c>
      <c r="F86" s="44"/>
      <c r="G86" s="18">
        <v>3</v>
      </c>
      <c r="H86" s="18">
        <v>3</v>
      </c>
      <c r="I86" s="18">
        <v>3</v>
      </c>
      <c r="J86" s="18">
        <v>3</v>
      </c>
      <c r="K86" s="18">
        <v>3</v>
      </c>
      <c r="L86" s="18">
        <v>3</v>
      </c>
      <c r="M86" s="18">
        <v>3</v>
      </c>
      <c r="N86" s="18">
        <v>3</v>
      </c>
      <c r="O86" s="18">
        <v>3</v>
      </c>
      <c r="P86" s="18">
        <v>3</v>
      </c>
      <c r="Q86" s="18">
        <v>3</v>
      </c>
      <c r="R86" s="18">
        <v>3</v>
      </c>
      <c r="S86" s="18">
        <v>3</v>
      </c>
      <c r="T86" s="18">
        <v>3</v>
      </c>
      <c r="U86" s="18">
        <v>3</v>
      </c>
      <c r="V86" s="18">
        <v>3</v>
      </c>
      <c r="W86" s="18">
        <v>3</v>
      </c>
      <c r="X86" s="19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</row>
    <row r="87" spans="1:31" x14ac:dyDescent="0.25">
      <c r="A87" s="45"/>
      <c r="B87" s="45"/>
      <c r="C87" s="46" t="s">
        <v>102</v>
      </c>
      <c r="D87" s="48"/>
      <c r="E87" s="43" t="s">
        <v>47</v>
      </c>
      <c r="F87" s="44"/>
      <c r="G87" s="18">
        <v>9</v>
      </c>
      <c r="H87" s="18">
        <v>3</v>
      </c>
      <c r="I87" s="18">
        <v>3</v>
      </c>
      <c r="J87" s="18">
        <v>3</v>
      </c>
      <c r="K87" s="18">
        <v>3</v>
      </c>
      <c r="L87" s="18">
        <v>3</v>
      </c>
      <c r="M87" s="18">
        <v>3</v>
      </c>
      <c r="N87" s="18">
        <v>3</v>
      </c>
      <c r="O87" s="18">
        <v>3</v>
      </c>
      <c r="P87" s="18">
        <v>3</v>
      </c>
      <c r="Q87" s="18">
        <v>3</v>
      </c>
      <c r="R87" s="18">
        <v>3</v>
      </c>
      <c r="S87" s="18">
        <v>3</v>
      </c>
      <c r="T87" s="18">
        <v>3</v>
      </c>
      <c r="U87" s="18">
        <v>3</v>
      </c>
      <c r="V87" s="18">
        <v>3</v>
      </c>
      <c r="W87" s="18">
        <v>3</v>
      </c>
      <c r="X87" s="19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</row>
    <row r="88" spans="1:31" x14ac:dyDescent="0.25">
      <c r="A88" s="45"/>
      <c r="B88" s="45"/>
      <c r="C88" s="43"/>
      <c r="D88" s="44"/>
      <c r="E88" s="43"/>
      <c r="F88" s="44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34">
        <v>6</v>
      </c>
      <c r="Y88" s="18"/>
      <c r="Z88" s="18"/>
      <c r="AA88" s="18"/>
      <c r="AB88" s="18"/>
      <c r="AC88" s="18"/>
      <c r="AD88" s="18"/>
      <c r="AE88" s="18"/>
    </row>
    <row r="89" spans="1:31" x14ac:dyDescent="0.25">
      <c r="A89" s="45"/>
      <c r="B89" s="45"/>
      <c r="C89" s="46" t="s">
        <v>103</v>
      </c>
      <c r="D89" s="48"/>
      <c r="E89" s="40" t="s">
        <v>54</v>
      </c>
      <c r="F89" s="40"/>
      <c r="G89" s="18">
        <v>5</v>
      </c>
      <c r="H89" s="18">
        <v>3</v>
      </c>
      <c r="I89" s="18">
        <v>3</v>
      </c>
      <c r="J89" s="18">
        <v>3</v>
      </c>
      <c r="K89" s="18">
        <v>3</v>
      </c>
      <c r="L89" s="18">
        <v>3</v>
      </c>
      <c r="M89" s="18">
        <v>3</v>
      </c>
      <c r="N89" s="18">
        <v>3</v>
      </c>
      <c r="O89" s="18">
        <v>3</v>
      </c>
      <c r="P89" s="18">
        <v>3</v>
      </c>
      <c r="Q89" s="18">
        <v>3</v>
      </c>
      <c r="R89" s="18">
        <v>3</v>
      </c>
      <c r="S89" s="18">
        <v>3</v>
      </c>
      <c r="T89" s="18">
        <v>3</v>
      </c>
      <c r="U89" s="18">
        <v>3</v>
      </c>
      <c r="V89" s="18">
        <v>2</v>
      </c>
      <c r="W89" s="18">
        <v>1</v>
      </c>
      <c r="X89" s="19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</row>
    <row r="90" spans="1:31" x14ac:dyDescent="0.25">
      <c r="A90" s="45"/>
      <c r="B90" s="45"/>
      <c r="C90" s="43"/>
      <c r="D90" s="44"/>
      <c r="E90" s="43"/>
      <c r="F90" s="44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34">
        <v>2</v>
      </c>
      <c r="Y90" s="18"/>
      <c r="Z90" s="18"/>
      <c r="AA90" s="18"/>
      <c r="AB90" s="18"/>
      <c r="AC90" s="18"/>
      <c r="AD90" s="18"/>
      <c r="AE90" s="18"/>
    </row>
    <row r="91" spans="1:31" x14ac:dyDescent="0.25">
      <c r="A91" s="45"/>
      <c r="B91" s="45"/>
      <c r="C91" s="46" t="s">
        <v>104</v>
      </c>
      <c r="D91" s="48"/>
      <c r="E91" s="40" t="s">
        <v>69</v>
      </c>
      <c r="F91" s="40"/>
      <c r="G91" s="18">
        <v>3</v>
      </c>
      <c r="H91" s="18">
        <v>3</v>
      </c>
      <c r="I91" s="18">
        <v>3</v>
      </c>
      <c r="J91" s="18">
        <v>3</v>
      </c>
      <c r="K91" s="18">
        <v>3</v>
      </c>
      <c r="L91" s="18">
        <v>3</v>
      </c>
      <c r="M91" s="18">
        <v>3</v>
      </c>
      <c r="N91" s="18">
        <v>3</v>
      </c>
      <c r="O91" s="18">
        <v>3</v>
      </c>
      <c r="P91" s="18">
        <v>3</v>
      </c>
      <c r="Q91" s="18">
        <v>3</v>
      </c>
      <c r="R91" s="18">
        <v>3</v>
      </c>
      <c r="S91" s="18">
        <v>3</v>
      </c>
      <c r="T91" s="18">
        <v>3</v>
      </c>
      <c r="U91" s="18">
        <v>3</v>
      </c>
      <c r="V91" s="18">
        <v>3</v>
      </c>
      <c r="W91" s="18">
        <v>3</v>
      </c>
      <c r="X91" s="19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</row>
    <row r="92" spans="1:31" x14ac:dyDescent="0.25">
      <c r="A92" s="45"/>
      <c r="B92" s="45"/>
      <c r="C92" s="46" t="s">
        <v>105</v>
      </c>
      <c r="D92" s="48"/>
      <c r="E92" s="40" t="s">
        <v>70</v>
      </c>
      <c r="F92" s="40"/>
      <c r="G92" s="18">
        <v>8</v>
      </c>
      <c r="H92" s="18">
        <v>3</v>
      </c>
      <c r="I92" s="18">
        <v>3</v>
      </c>
      <c r="J92" s="18">
        <v>3</v>
      </c>
      <c r="K92" s="18">
        <v>3</v>
      </c>
      <c r="L92" s="18">
        <v>3</v>
      </c>
      <c r="M92" s="18">
        <v>3</v>
      </c>
      <c r="N92" s="18">
        <v>3</v>
      </c>
      <c r="O92" s="18">
        <v>3</v>
      </c>
      <c r="P92" s="18">
        <v>3</v>
      </c>
      <c r="Q92" s="18">
        <v>3</v>
      </c>
      <c r="R92" s="18">
        <v>3</v>
      </c>
      <c r="S92" s="18">
        <v>3</v>
      </c>
      <c r="T92" s="18">
        <v>3</v>
      </c>
      <c r="U92" s="18">
        <v>3</v>
      </c>
      <c r="V92" s="18">
        <v>1</v>
      </c>
      <c r="W92" s="18">
        <v>1</v>
      </c>
      <c r="X92" s="19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</row>
    <row r="93" spans="1:31" x14ac:dyDescent="0.25">
      <c r="A93" s="45"/>
      <c r="B93" s="45"/>
      <c r="C93" s="43"/>
      <c r="D93" s="44"/>
      <c r="E93" s="43"/>
      <c r="F93" s="44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34">
        <v>5</v>
      </c>
      <c r="Y93" s="18"/>
      <c r="Z93" s="18"/>
      <c r="AA93" s="18"/>
      <c r="AB93" s="18"/>
      <c r="AC93" s="18"/>
      <c r="AD93" s="18"/>
      <c r="AE93" s="18"/>
    </row>
    <row r="94" spans="1:31" x14ac:dyDescent="0.25">
      <c r="A94" s="45"/>
      <c r="B94" s="45"/>
      <c r="C94" s="46" t="s">
        <v>106</v>
      </c>
      <c r="D94" s="48"/>
      <c r="E94" s="40" t="s">
        <v>55</v>
      </c>
      <c r="F94" s="40"/>
      <c r="G94" s="18">
        <v>10</v>
      </c>
      <c r="H94" s="18">
        <v>3</v>
      </c>
      <c r="I94" s="18">
        <v>3</v>
      </c>
      <c r="J94" s="18">
        <v>3</v>
      </c>
      <c r="K94" s="18">
        <v>3</v>
      </c>
      <c r="L94" s="18">
        <v>3</v>
      </c>
      <c r="M94" s="18">
        <v>3</v>
      </c>
      <c r="N94" s="18">
        <v>3</v>
      </c>
      <c r="O94" s="18">
        <v>3</v>
      </c>
      <c r="P94" s="18">
        <v>3</v>
      </c>
      <c r="Q94" s="18">
        <v>3</v>
      </c>
      <c r="R94" s="18">
        <v>3</v>
      </c>
      <c r="S94" s="18">
        <v>3</v>
      </c>
      <c r="T94" s="18">
        <v>3</v>
      </c>
      <c r="U94" s="18">
        <v>3</v>
      </c>
      <c r="V94" s="18">
        <v>3</v>
      </c>
      <c r="W94" s="18">
        <v>0</v>
      </c>
      <c r="X94" s="19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0</v>
      </c>
      <c r="AE94" s="18">
        <v>0</v>
      </c>
    </row>
    <row r="95" spans="1:31" x14ac:dyDescent="0.25">
      <c r="A95" s="45"/>
      <c r="B95" s="45"/>
      <c r="C95" s="43"/>
      <c r="D95" s="44"/>
      <c r="E95" s="43"/>
      <c r="F95" s="44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34">
        <v>7</v>
      </c>
      <c r="Y95" s="18"/>
      <c r="Z95" s="18"/>
      <c r="AA95" s="18"/>
      <c r="AB95" s="18"/>
      <c r="AC95" s="18"/>
      <c r="AD95" s="18"/>
      <c r="AE95" s="18"/>
    </row>
    <row r="96" spans="1:31" x14ac:dyDescent="0.25">
      <c r="A96" s="45"/>
      <c r="B96" s="45"/>
      <c r="C96" s="46" t="s">
        <v>107</v>
      </c>
      <c r="D96" s="48"/>
      <c r="E96" s="43" t="s">
        <v>55</v>
      </c>
      <c r="F96" s="44"/>
      <c r="G96" s="18">
        <v>13</v>
      </c>
      <c r="H96" s="18">
        <v>3</v>
      </c>
      <c r="I96" s="18">
        <v>3</v>
      </c>
      <c r="J96" s="18">
        <v>3</v>
      </c>
      <c r="K96" s="18">
        <v>3</v>
      </c>
      <c r="L96" s="18">
        <v>3</v>
      </c>
      <c r="M96" s="18">
        <v>3</v>
      </c>
      <c r="N96" s="18">
        <v>3</v>
      </c>
      <c r="O96" s="18">
        <v>3</v>
      </c>
      <c r="P96" s="18">
        <v>3</v>
      </c>
      <c r="Q96" s="18">
        <v>3</v>
      </c>
      <c r="R96" s="18">
        <v>3</v>
      </c>
      <c r="S96" s="18">
        <v>3</v>
      </c>
      <c r="T96" s="18">
        <v>3</v>
      </c>
      <c r="U96" s="18">
        <v>3</v>
      </c>
      <c r="V96" s="18">
        <v>3</v>
      </c>
      <c r="W96" s="18">
        <v>1</v>
      </c>
      <c r="X96" s="18">
        <v>1</v>
      </c>
      <c r="Y96" s="19">
        <v>0</v>
      </c>
      <c r="Z96" s="18">
        <v>0</v>
      </c>
      <c r="AA96" s="18">
        <v>0</v>
      </c>
      <c r="AB96" s="18">
        <v>0</v>
      </c>
      <c r="AC96" s="18">
        <v>0</v>
      </c>
      <c r="AD96" s="18">
        <v>0</v>
      </c>
      <c r="AE96" s="18">
        <v>0</v>
      </c>
    </row>
    <row r="97" spans="1:31" x14ac:dyDescent="0.25">
      <c r="A97" s="45"/>
      <c r="B97" s="45"/>
      <c r="C97" s="43"/>
      <c r="D97" s="44"/>
      <c r="E97" s="43"/>
      <c r="F97" s="44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34">
        <v>10</v>
      </c>
      <c r="Z97" s="18"/>
      <c r="AA97" s="18"/>
      <c r="AB97" s="18"/>
      <c r="AC97" s="18"/>
      <c r="AD97" s="18"/>
      <c r="AE97" s="18"/>
    </row>
    <row r="98" spans="1:31" x14ac:dyDescent="0.25">
      <c r="A98" s="45"/>
      <c r="B98" s="45"/>
      <c r="C98" s="46" t="s">
        <v>108</v>
      </c>
      <c r="D98" s="48"/>
      <c r="E98" s="43" t="s">
        <v>69</v>
      </c>
      <c r="F98" s="44"/>
      <c r="G98" s="18">
        <v>3</v>
      </c>
      <c r="H98" s="18">
        <v>3</v>
      </c>
      <c r="I98" s="18">
        <v>3</v>
      </c>
      <c r="J98" s="18">
        <v>3</v>
      </c>
      <c r="K98" s="18">
        <v>3</v>
      </c>
      <c r="L98" s="18">
        <v>3</v>
      </c>
      <c r="M98" s="18">
        <v>3</v>
      </c>
      <c r="N98" s="18">
        <v>3</v>
      </c>
      <c r="O98" s="18">
        <v>3</v>
      </c>
      <c r="P98" s="18">
        <v>3</v>
      </c>
      <c r="Q98" s="18">
        <v>3</v>
      </c>
      <c r="R98" s="18">
        <v>3</v>
      </c>
      <c r="S98" s="18">
        <v>3</v>
      </c>
      <c r="T98" s="18">
        <v>3</v>
      </c>
      <c r="U98" s="18">
        <v>3</v>
      </c>
      <c r="V98" s="18">
        <v>3</v>
      </c>
      <c r="W98" s="18">
        <v>3</v>
      </c>
      <c r="X98" s="18">
        <v>3</v>
      </c>
      <c r="Y98" s="19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0</v>
      </c>
      <c r="AE98" s="18">
        <v>0</v>
      </c>
    </row>
    <row r="99" spans="1:31" x14ac:dyDescent="0.25">
      <c r="A99" s="45"/>
      <c r="B99" s="45"/>
      <c r="C99" s="46" t="s">
        <v>109</v>
      </c>
      <c r="D99" s="48"/>
      <c r="E99" s="43" t="s">
        <v>54</v>
      </c>
      <c r="F99" s="44"/>
      <c r="G99" s="18">
        <v>3</v>
      </c>
      <c r="H99" s="18">
        <v>3</v>
      </c>
      <c r="I99" s="18">
        <v>3</v>
      </c>
      <c r="J99" s="18">
        <v>3</v>
      </c>
      <c r="K99" s="18">
        <v>3</v>
      </c>
      <c r="L99" s="18">
        <v>3</v>
      </c>
      <c r="M99" s="18">
        <v>3</v>
      </c>
      <c r="N99" s="18">
        <v>3</v>
      </c>
      <c r="O99" s="18">
        <v>3</v>
      </c>
      <c r="P99" s="18">
        <v>3</v>
      </c>
      <c r="Q99" s="18">
        <v>3</v>
      </c>
      <c r="R99" s="18">
        <v>3</v>
      </c>
      <c r="S99" s="18">
        <v>3</v>
      </c>
      <c r="T99" s="18">
        <v>3</v>
      </c>
      <c r="U99" s="18">
        <v>3</v>
      </c>
      <c r="V99" s="18">
        <v>3</v>
      </c>
      <c r="W99" s="18">
        <v>3</v>
      </c>
      <c r="X99" s="18">
        <v>3</v>
      </c>
      <c r="Y99" s="19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</row>
    <row r="100" spans="1:31" x14ac:dyDescent="0.25">
      <c r="A100" s="45"/>
      <c r="B100" s="45"/>
      <c r="C100" s="46" t="s">
        <v>110</v>
      </c>
      <c r="D100" s="48"/>
      <c r="E100" s="43" t="s">
        <v>47</v>
      </c>
      <c r="F100" s="44"/>
      <c r="G100" s="18">
        <v>8</v>
      </c>
      <c r="H100" s="18">
        <v>3</v>
      </c>
      <c r="I100" s="18">
        <v>3</v>
      </c>
      <c r="J100" s="18">
        <v>3</v>
      </c>
      <c r="K100" s="18">
        <v>3</v>
      </c>
      <c r="L100" s="18">
        <v>3</v>
      </c>
      <c r="M100" s="18">
        <v>3</v>
      </c>
      <c r="N100" s="18">
        <v>3</v>
      </c>
      <c r="O100" s="18">
        <v>3</v>
      </c>
      <c r="P100" s="18">
        <v>3</v>
      </c>
      <c r="Q100" s="18">
        <v>3</v>
      </c>
      <c r="R100" s="18">
        <v>3</v>
      </c>
      <c r="S100" s="18">
        <v>3</v>
      </c>
      <c r="T100" s="18">
        <v>3</v>
      </c>
      <c r="U100" s="18">
        <v>3</v>
      </c>
      <c r="V100" s="18">
        <v>3</v>
      </c>
      <c r="W100" s="18">
        <v>3</v>
      </c>
      <c r="X100" s="18">
        <v>3</v>
      </c>
      <c r="Y100" s="19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8">
        <v>0</v>
      </c>
    </row>
    <row r="101" spans="1:31" x14ac:dyDescent="0.25">
      <c r="A101" s="45"/>
      <c r="B101" s="45"/>
      <c r="C101" s="43"/>
      <c r="D101" s="44"/>
      <c r="E101" s="43"/>
      <c r="F101" s="44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34">
        <v>5</v>
      </c>
      <c r="Z101" s="18"/>
      <c r="AA101" s="18"/>
      <c r="AB101" s="18"/>
      <c r="AC101" s="18"/>
      <c r="AD101" s="18"/>
      <c r="AE101" s="18"/>
    </row>
    <row r="102" spans="1:31" x14ac:dyDescent="0.25">
      <c r="A102" s="45"/>
      <c r="B102" s="45"/>
      <c r="C102" s="41" t="s">
        <v>22</v>
      </c>
      <c r="D102" s="41"/>
      <c r="E102" s="42" t="s">
        <v>36</v>
      </c>
      <c r="F102" s="42"/>
      <c r="G102" s="18">
        <v>8</v>
      </c>
      <c r="H102" s="18">
        <v>4</v>
      </c>
      <c r="I102" s="18">
        <v>4</v>
      </c>
      <c r="J102" s="18">
        <v>4</v>
      </c>
      <c r="K102" s="18">
        <v>4</v>
      </c>
      <c r="L102" s="18">
        <v>4</v>
      </c>
      <c r="M102" s="18">
        <v>4</v>
      </c>
      <c r="N102" s="18">
        <v>4</v>
      </c>
      <c r="O102" s="18">
        <v>4</v>
      </c>
      <c r="P102" s="18">
        <v>4</v>
      </c>
      <c r="Q102" s="18">
        <v>4</v>
      </c>
      <c r="R102" s="18">
        <v>4</v>
      </c>
      <c r="S102" s="18">
        <v>4</v>
      </c>
      <c r="T102" s="18">
        <v>4</v>
      </c>
      <c r="U102" s="18">
        <v>4</v>
      </c>
      <c r="V102" s="18">
        <v>4</v>
      </c>
      <c r="W102" s="18">
        <v>4</v>
      </c>
      <c r="X102" s="18">
        <v>4</v>
      </c>
      <c r="Y102" s="18">
        <v>4</v>
      </c>
      <c r="Z102" s="19">
        <v>0</v>
      </c>
      <c r="AA102" s="18">
        <v>0</v>
      </c>
      <c r="AB102" s="18">
        <v>0</v>
      </c>
      <c r="AC102" s="18">
        <v>0</v>
      </c>
      <c r="AD102" s="18">
        <v>0</v>
      </c>
      <c r="AE102" s="18">
        <v>0</v>
      </c>
    </row>
    <row r="103" spans="1:31" x14ac:dyDescent="0.25">
      <c r="A103" s="45"/>
      <c r="B103" s="45"/>
      <c r="C103" s="40"/>
      <c r="D103" s="40"/>
      <c r="E103" s="40"/>
      <c r="F103" s="40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34">
        <v>4</v>
      </c>
      <c r="AA103" s="18"/>
      <c r="AB103" s="18"/>
      <c r="AC103" s="18"/>
      <c r="AD103" s="18"/>
      <c r="AE103" s="18"/>
    </row>
    <row r="104" spans="1:31" x14ac:dyDescent="0.25">
      <c r="A104" s="45"/>
      <c r="B104" s="45" t="s">
        <v>24</v>
      </c>
      <c r="C104" s="41" t="s">
        <v>111</v>
      </c>
      <c r="D104" s="41"/>
      <c r="E104" s="40" t="s">
        <v>70</v>
      </c>
      <c r="F104" s="40"/>
      <c r="G104" s="18">
        <v>2</v>
      </c>
      <c r="H104" s="18">
        <v>2</v>
      </c>
      <c r="I104" s="18">
        <v>2</v>
      </c>
      <c r="J104" s="18">
        <v>2</v>
      </c>
      <c r="K104" s="18">
        <v>2</v>
      </c>
      <c r="L104" s="18">
        <v>2</v>
      </c>
      <c r="M104" s="18">
        <v>2</v>
      </c>
      <c r="N104" s="18">
        <v>2</v>
      </c>
      <c r="O104" s="18">
        <v>2</v>
      </c>
      <c r="P104" s="18">
        <v>2</v>
      </c>
      <c r="Q104" s="18">
        <v>2</v>
      </c>
      <c r="R104" s="18">
        <v>2</v>
      </c>
      <c r="S104" s="18">
        <v>2</v>
      </c>
      <c r="T104" s="18">
        <v>2</v>
      </c>
      <c r="U104" s="18">
        <v>2</v>
      </c>
      <c r="V104" s="18">
        <v>2</v>
      </c>
      <c r="W104" s="18">
        <v>2</v>
      </c>
      <c r="X104" s="18">
        <v>2</v>
      </c>
      <c r="Y104" s="18">
        <v>2</v>
      </c>
      <c r="Z104" s="18">
        <v>2</v>
      </c>
      <c r="AA104" s="19">
        <v>0</v>
      </c>
      <c r="AB104" s="18">
        <v>0</v>
      </c>
      <c r="AC104" s="18">
        <v>0</v>
      </c>
      <c r="AD104" s="18">
        <v>0</v>
      </c>
      <c r="AE104" s="18">
        <v>0</v>
      </c>
    </row>
    <row r="105" spans="1:31" x14ac:dyDescent="0.25">
      <c r="A105" s="45"/>
      <c r="B105" s="45"/>
      <c r="C105" s="41" t="s">
        <v>112</v>
      </c>
      <c r="D105" s="41"/>
      <c r="E105" s="40" t="s">
        <v>55</v>
      </c>
      <c r="F105" s="40"/>
      <c r="G105" s="18">
        <v>2</v>
      </c>
      <c r="H105" s="18">
        <v>2</v>
      </c>
      <c r="I105" s="18">
        <v>2</v>
      </c>
      <c r="J105" s="18">
        <v>2</v>
      </c>
      <c r="K105" s="18">
        <v>2</v>
      </c>
      <c r="L105" s="18">
        <v>2</v>
      </c>
      <c r="M105" s="18">
        <v>2</v>
      </c>
      <c r="N105" s="18">
        <v>2</v>
      </c>
      <c r="O105" s="18">
        <v>2</v>
      </c>
      <c r="P105" s="18">
        <v>2</v>
      </c>
      <c r="Q105" s="18">
        <v>2</v>
      </c>
      <c r="R105" s="18">
        <v>2</v>
      </c>
      <c r="S105" s="18">
        <v>2</v>
      </c>
      <c r="T105" s="18">
        <v>2</v>
      </c>
      <c r="U105" s="18">
        <v>2</v>
      </c>
      <c r="V105" s="18">
        <v>2</v>
      </c>
      <c r="W105" s="18">
        <v>2</v>
      </c>
      <c r="X105" s="18">
        <v>2</v>
      </c>
      <c r="Y105" s="18">
        <v>2</v>
      </c>
      <c r="Z105" s="18">
        <v>2</v>
      </c>
      <c r="AA105" s="19">
        <v>0</v>
      </c>
      <c r="AB105" s="18">
        <v>0</v>
      </c>
      <c r="AC105" s="18">
        <v>0</v>
      </c>
      <c r="AD105" s="18">
        <v>0</v>
      </c>
      <c r="AE105" s="18">
        <v>0</v>
      </c>
    </row>
    <row r="106" spans="1:31" x14ac:dyDescent="0.25">
      <c r="A106" s="45"/>
      <c r="B106" s="45"/>
      <c r="C106" s="41" t="s">
        <v>113</v>
      </c>
      <c r="D106" s="41"/>
      <c r="E106" s="40" t="s">
        <v>47</v>
      </c>
      <c r="F106" s="40"/>
      <c r="G106" s="18">
        <v>2</v>
      </c>
      <c r="H106" s="18">
        <v>2</v>
      </c>
      <c r="I106" s="18">
        <v>2</v>
      </c>
      <c r="J106" s="18">
        <v>2</v>
      </c>
      <c r="K106" s="18">
        <v>2</v>
      </c>
      <c r="L106" s="18">
        <v>2</v>
      </c>
      <c r="M106" s="18">
        <v>2</v>
      </c>
      <c r="N106" s="18">
        <v>2</v>
      </c>
      <c r="O106" s="18">
        <v>2</v>
      </c>
      <c r="P106" s="18">
        <v>2</v>
      </c>
      <c r="Q106" s="18">
        <v>2</v>
      </c>
      <c r="R106" s="18">
        <v>2</v>
      </c>
      <c r="S106" s="18">
        <v>2</v>
      </c>
      <c r="T106" s="18">
        <v>2</v>
      </c>
      <c r="U106" s="18">
        <v>2</v>
      </c>
      <c r="V106" s="18">
        <v>2</v>
      </c>
      <c r="W106" s="18">
        <v>2</v>
      </c>
      <c r="X106" s="18">
        <v>2</v>
      </c>
      <c r="Y106" s="18">
        <v>2</v>
      </c>
      <c r="Z106" s="18">
        <v>2</v>
      </c>
      <c r="AA106" s="19">
        <v>0</v>
      </c>
      <c r="AB106" s="18">
        <v>0</v>
      </c>
      <c r="AC106" s="18">
        <v>0</v>
      </c>
      <c r="AD106" s="18">
        <v>0</v>
      </c>
      <c r="AE106" s="18">
        <v>0</v>
      </c>
    </row>
    <row r="107" spans="1:31" x14ac:dyDescent="0.25">
      <c r="A107" s="45"/>
      <c r="B107" s="45"/>
      <c r="C107" s="46" t="s">
        <v>114</v>
      </c>
      <c r="D107" s="48"/>
      <c r="E107" s="40" t="s">
        <v>47</v>
      </c>
      <c r="F107" s="40"/>
      <c r="G107" s="18">
        <v>2</v>
      </c>
      <c r="H107" s="18">
        <v>2</v>
      </c>
      <c r="I107" s="18">
        <v>2</v>
      </c>
      <c r="J107" s="18">
        <v>2</v>
      </c>
      <c r="K107" s="18">
        <v>2</v>
      </c>
      <c r="L107" s="18">
        <v>2</v>
      </c>
      <c r="M107" s="18">
        <v>2</v>
      </c>
      <c r="N107" s="18">
        <v>2</v>
      </c>
      <c r="O107" s="18">
        <v>2</v>
      </c>
      <c r="P107" s="18">
        <v>2</v>
      </c>
      <c r="Q107" s="18">
        <v>2</v>
      </c>
      <c r="R107" s="18">
        <v>2</v>
      </c>
      <c r="S107" s="18">
        <v>2</v>
      </c>
      <c r="T107" s="18">
        <v>2</v>
      </c>
      <c r="U107" s="18">
        <v>2</v>
      </c>
      <c r="V107" s="18">
        <v>2</v>
      </c>
      <c r="W107" s="18">
        <v>2</v>
      </c>
      <c r="X107" s="18">
        <v>2</v>
      </c>
      <c r="Y107" s="18">
        <v>2</v>
      </c>
      <c r="Z107" s="18">
        <v>2</v>
      </c>
      <c r="AA107" s="19">
        <v>0</v>
      </c>
      <c r="AB107" s="18">
        <v>0</v>
      </c>
      <c r="AC107" s="18">
        <v>0</v>
      </c>
      <c r="AD107" s="18">
        <v>0</v>
      </c>
      <c r="AE107" s="18">
        <v>0</v>
      </c>
    </row>
    <row r="108" spans="1:31" x14ac:dyDescent="0.25">
      <c r="A108" s="45"/>
      <c r="B108" s="45"/>
      <c r="C108" s="46" t="s">
        <v>115</v>
      </c>
      <c r="D108" s="48"/>
      <c r="E108" s="40" t="s">
        <v>54</v>
      </c>
      <c r="F108" s="40"/>
      <c r="G108" s="18">
        <v>2</v>
      </c>
      <c r="H108" s="18">
        <v>2</v>
      </c>
      <c r="I108" s="18">
        <v>2</v>
      </c>
      <c r="J108" s="18">
        <v>2</v>
      </c>
      <c r="K108" s="18">
        <v>2</v>
      </c>
      <c r="L108" s="18">
        <v>2</v>
      </c>
      <c r="M108" s="18">
        <v>2</v>
      </c>
      <c r="N108" s="18">
        <v>2</v>
      </c>
      <c r="O108" s="18">
        <v>2</v>
      </c>
      <c r="P108" s="18">
        <v>2</v>
      </c>
      <c r="Q108" s="18">
        <v>2</v>
      </c>
      <c r="R108" s="18">
        <v>2</v>
      </c>
      <c r="S108" s="18">
        <v>2</v>
      </c>
      <c r="T108" s="18">
        <v>2</v>
      </c>
      <c r="U108" s="18">
        <v>2</v>
      </c>
      <c r="V108" s="18">
        <v>2</v>
      </c>
      <c r="W108" s="18">
        <v>2</v>
      </c>
      <c r="X108" s="18">
        <v>2</v>
      </c>
      <c r="Y108" s="18">
        <v>2</v>
      </c>
      <c r="Z108" s="18">
        <v>2</v>
      </c>
      <c r="AA108" s="19">
        <v>0</v>
      </c>
      <c r="AB108" s="18">
        <v>0</v>
      </c>
      <c r="AC108" s="18">
        <v>0</v>
      </c>
      <c r="AD108" s="18">
        <v>0</v>
      </c>
      <c r="AE108" s="18">
        <v>0</v>
      </c>
    </row>
    <row r="109" spans="1:31" x14ac:dyDescent="0.25">
      <c r="A109" s="45"/>
      <c r="B109" s="45"/>
      <c r="C109" s="46" t="s">
        <v>116</v>
      </c>
      <c r="D109" s="48"/>
      <c r="E109" s="43" t="s">
        <v>54</v>
      </c>
      <c r="F109" s="44"/>
      <c r="G109" s="18">
        <v>2</v>
      </c>
      <c r="H109" s="18">
        <v>2</v>
      </c>
      <c r="I109" s="18">
        <v>2</v>
      </c>
      <c r="J109" s="18">
        <v>2</v>
      </c>
      <c r="K109" s="18">
        <v>2</v>
      </c>
      <c r="L109" s="18">
        <v>2</v>
      </c>
      <c r="M109" s="18">
        <v>2</v>
      </c>
      <c r="N109" s="18">
        <v>2</v>
      </c>
      <c r="O109" s="18">
        <v>2</v>
      </c>
      <c r="P109" s="18">
        <v>2</v>
      </c>
      <c r="Q109" s="18">
        <v>2</v>
      </c>
      <c r="R109" s="18">
        <v>2</v>
      </c>
      <c r="S109" s="18">
        <v>2</v>
      </c>
      <c r="T109" s="18">
        <v>2</v>
      </c>
      <c r="U109" s="18">
        <v>2</v>
      </c>
      <c r="V109" s="18">
        <v>2</v>
      </c>
      <c r="W109" s="18">
        <v>2</v>
      </c>
      <c r="X109" s="18">
        <v>2</v>
      </c>
      <c r="Y109" s="18">
        <v>2</v>
      </c>
      <c r="Z109" s="18">
        <v>2</v>
      </c>
      <c r="AA109" s="19">
        <v>0</v>
      </c>
      <c r="AB109" s="18">
        <v>0</v>
      </c>
      <c r="AC109" s="18">
        <v>0</v>
      </c>
      <c r="AD109" s="18">
        <v>0</v>
      </c>
      <c r="AE109" s="18">
        <v>0</v>
      </c>
    </row>
    <row r="110" spans="1:31" x14ac:dyDescent="0.25">
      <c r="A110" s="45"/>
      <c r="B110" s="45"/>
      <c r="C110" s="46" t="s">
        <v>117</v>
      </c>
      <c r="D110" s="48"/>
      <c r="E110" s="43" t="s">
        <v>69</v>
      </c>
      <c r="F110" s="44"/>
      <c r="G110" s="18">
        <v>2</v>
      </c>
      <c r="H110" s="18">
        <v>2</v>
      </c>
      <c r="I110" s="18">
        <v>2</v>
      </c>
      <c r="J110" s="18">
        <v>2</v>
      </c>
      <c r="K110" s="18">
        <v>2</v>
      </c>
      <c r="L110" s="18">
        <v>2</v>
      </c>
      <c r="M110" s="18">
        <v>2</v>
      </c>
      <c r="N110" s="18">
        <v>2</v>
      </c>
      <c r="O110" s="18">
        <v>2</v>
      </c>
      <c r="P110" s="18">
        <v>2</v>
      </c>
      <c r="Q110" s="18">
        <v>2</v>
      </c>
      <c r="R110" s="18">
        <v>2</v>
      </c>
      <c r="S110" s="18">
        <v>2</v>
      </c>
      <c r="T110" s="18">
        <v>2</v>
      </c>
      <c r="U110" s="18">
        <v>2</v>
      </c>
      <c r="V110" s="18">
        <v>2</v>
      </c>
      <c r="W110" s="18">
        <v>2</v>
      </c>
      <c r="X110" s="18">
        <v>2</v>
      </c>
      <c r="Y110" s="18">
        <v>2</v>
      </c>
      <c r="Z110" s="18">
        <v>2</v>
      </c>
      <c r="AA110" s="19">
        <v>0</v>
      </c>
      <c r="AB110" s="18">
        <v>0</v>
      </c>
      <c r="AC110" s="18">
        <v>0</v>
      </c>
      <c r="AD110" s="18">
        <v>0</v>
      </c>
      <c r="AE110" s="18">
        <v>0</v>
      </c>
    </row>
    <row r="111" spans="1:31" x14ac:dyDescent="0.25">
      <c r="A111" s="45"/>
      <c r="B111" s="45"/>
      <c r="C111" s="46" t="s">
        <v>118</v>
      </c>
      <c r="D111" s="48"/>
      <c r="E111" s="43" t="s">
        <v>69</v>
      </c>
      <c r="F111" s="44"/>
      <c r="G111" s="18">
        <v>2</v>
      </c>
      <c r="H111" s="18">
        <v>2</v>
      </c>
      <c r="I111" s="18">
        <v>2</v>
      </c>
      <c r="J111" s="18">
        <v>2</v>
      </c>
      <c r="K111" s="18">
        <v>2</v>
      </c>
      <c r="L111" s="18">
        <v>2</v>
      </c>
      <c r="M111" s="18">
        <v>2</v>
      </c>
      <c r="N111" s="18">
        <v>2</v>
      </c>
      <c r="O111" s="18">
        <v>2</v>
      </c>
      <c r="P111" s="18">
        <v>2</v>
      </c>
      <c r="Q111" s="18">
        <v>2</v>
      </c>
      <c r="R111" s="18">
        <v>2</v>
      </c>
      <c r="S111" s="18">
        <v>2</v>
      </c>
      <c r="T111" s="18">
        <v>2</v>
      </c>
      <c r="U111" s="18">
        <v>2</v>
      </c>
      <c r="V111" s="18">
        <v>2</v>
      </c>
      <c r="W111" s="18">
        <v>2</v>
      </c>
      <c r="X111" s="18">
        <v>2</v>
      </c>
      <c r="Y111" s="18">
        <v>2</v>
      </c>
      <c r="Z111" s="18">
        <v>2</v>
      </c>
      <c r="AA111" s="19">
        <v>0</v>
      </c>
      <c r="AB111" s="18">
        <v>0</v>
      </c>
      <c r="AC111" s="18">
        <v>0</v>
      </c>
      <c r="AD111" s="18">
        <v>0</v>
      </c>
      <c r="AE111" s="18">
        <v>0</v>
      </c>
    </row>
    <row r="112" spans="1:31" x14ac:dyDescent="0.25">
      <c r="A112" s="45"/>
      <c r="B112" s="45"/>
      <c r="C112" s="46" t="s">
        <v>119</v>
      </c>
      <c r="D112" s="48"/>
      <c r="E112" s="43" t="s">
        <v>70</v>
      </c>
      <c r="F112" s="44"/>
      <c r="G112" s="18">
        <v>2</v>
      </c>
      <c r="H112" s="18">
        <v>2</v>
      </c>
      <c r="I112" s="18">
        <v>2</v>
      </c>
      <c r="J112" s="18">
        <v>2</v>
      </c>
      <c r="K112" s="18">
        <v>2</v>
      </c>
      <c r="L112" s="18">
        <v>2</v>
      </c>
      <c r="M112" s="18">
        <v>2</v>
      </c>
      <c r="N112" s="18">
        <v>2</v>
      </c>
      <c r="O112" s="18">
        <v>2</v>
      </c>
      <c r="P112" s="18">
        <v>2</v>
      </c>
      <c r="Q112" s="18">
        <v>2</v>
      </c>
      <c r="R112" s="18">
        <v>2</v>
      </c>
      <c r="S112" s="18">
        <v>2</v>
      </c>
      <c r="T112" s="18">
        <v>2</v>
      </c>
      <c r="U112" s="18">
        <v>2</v>
      </c>
      <c r="V112" s="18">
        <v>2</v>
      </c>
      <c r="W112" s="18">
        <v>2</v>
      </c>
      <c r="X112" s="18">
        <v>2</v>
      </c>
      <c r="Y112" s="18">
        <v>2</v>
      </c>
      <c r="Z112" s="18">
        <v>2</v>
      </c>
      <c r="AA112" s="19">
        <v>0</v>
      </c>
      <c r="AB112" s="18">
        <v>0</v>
      </c>
      <c r="AC112" s="18">
        <v>0</v>
      </c>
      <c r="AD112" s="18">
        <v>0</v>
      </c>
      <c r="AE112" s="18">
        <v>0</v>
      </c>
    </row>
    <row r="113" spans="1:31" x14ac:dyDescent="0.25">
      <c r="A113" s="45"/>
      <c r="B113" s="45"/>
      <c r="C113" s="46" t="s">
        <v>120</v>
      </c>
      <c r="D113" s="48"/>
      <c r="E113" s="43" t="s">
        <v>55</v>
      </c>
      <c r="F113" s="44"/>
      <c r="G113" s="18">
        <v>2</v>
      </c>
      <c r="H113" s="18">
        <v>2</v>
      </c>
      <c r="I113" s="18">
        <v>2</v>
      </c>
      <c r="J113" s="18">
        <v>2</v>
      </c>
      <c r="K113" s="18">
        <v>2</v>
      </c>
      <c r="L113" s="18">
        <v>2</v>
      </c>
      <c r="M113" s="18">
        <v>2</v>
      </c>
      <c r="N113" s="18">
        <v>2</v>
      </c>
      <c r="O113" s="18">
        <v>2</v>
      </c>
      <c r="P113" s="18">
        <v>2</v>
      </c>
      <c r="Q113" s="18">
        <v>2</v>
      </c>
      <c r="R113" s="18">
        <v>2</v>
      </c>
      <c r="S113" s="18">
        <v>2</v>
      </c>
      <c r="T113" s="18">
        <v>2</v>
      </c>
      <c r="U113" s="18">
        <v>2</v>
      </c>
      <c r="V113" s="18">
        <v>2</v>
      </c>
      <c r="W113" s="18">
        <v>2</v>
      </c>
      <c r="X113" s="18">
        <v>2</v>
      </c>
      <c r="Y113" s="18">
        <v>2</v>
      </c>
      <c r="Z113" s="18">
        <v>2</v>
      </c>
      <c r="AA113" s="19">
        <v>0</v>
      </c>
      <c r="AB113" s="18">
        <v>0</v>
      </c>
      <c r="AC113" s="18">
        <v>0</v>
      </c>
      <c r="AD113" s="18">
        <v>0</v>
      </c>
      <c r="AE113" s="18">
        <v>0</v>
      </c>
    </row>
    <row r="114" spans="1:31" x14ac:dyDescent="0.25">
      <c r="A114" s="45"/>
      <c r="B114" s="45"/>
      <c r="C114" s="46" t="s">
        <v>121</v>
      </c>
      <c r="D114" s="48"/>
      <c r="E114" s="43" t="s">
        <v>70</v>
      </c>
      <c r="F114" s="44"/>
      <c r="G114" s="18">
        <v>2</v>
      </c>
      <c r="H114" s="18">
        <v>2</v>
      </c>
      <c r="I114" s="18">
        <v>2</v>
      </c>
      <c r="J114" s="18">
        <v>2</v>
      </c>
      <c r="K114" s="18">
        <v>2</v>
      </c>
      <c r="L114" s="18">
        <v>2</v>
      </c>
      <c r="M114" s="18">
        <v>2</v>
      </c>
      <c r="N114" s="18">
        <v>2</v>
      </c>
      <c r="O114" s="18">
        <v>2</v>
      </c>
      <c r="P114" s="18">
        <v>2</v>
      </c>
      <c r="Q114" s="18">
        <v>2</v>
      </c>
      <c r="R114" s="18">
        <v>2</v>
      </c>
      <c r="S114" s="18">
        <v>2</v>
      </c>
      <c r="T114" s="18">
        <v>2</v>
      </c>
      <c r="U114" s="18">
        <v>2</v>
      </c>
      <c r="V114" s="18">
        <v>2</v>
      </c>
      <c r="W114" s="18">
        <v>2</v>
      </c>
      <c r="X114" s="18">
        <v>2</v>
      </c>
      <c r="Y114" s="18">
        <v>2</v>
      </c>
      <c r="Z114" s="18">
        <v>2</v>
      </c>
      <c r="AA114" s="19">
        <v>0</v>
      </c>
      <c r="AB114" s="18">
        <v>0</v>
      </c>
      <c r="AC114" s="18">
        <v>0</v>
      </c>
      <c r="AD114" s="18">
        <v>0</v>
      </c>
      <c r="AE114" s="18">
        <v>0</v>
      </c>
    </row>
    <row r="115" spans="1:31" x14ac:dyDescent="0.25">
      <c r="A115" s="45"/>
      <c r="B115" s="45"/>
      <c r="C115" s="46" t="s">
        <v>122</v>
      </c>
      <c r="D115" s="48"/>
      <c r="E115" s="43" t="s">
        <v>54</v>
      </c>
      <c r="F115" s="44"/>
      <c r="G115" s="18">
        <v>2</v>
      </c>
      <c r="H115" s="18">
        <v>2</v>
      </c>
      <c r="I115" s="18">
        <v>2</v>
      </c>
      <c r="J115" s="18">
        <v>2</v>
      </c>
      <c r="K115" s="18">
        <v>2</v>
      </c>
      <c r="L115" s="18">
        <v>2</v>
      </c>
      <c r="M115" s="18">
        <v>2</v>
      </c>
      <c r="N115" s="18">
        <v>2</v>
      </c>
      <c r="O115" s="18">
        <v>2</v>
      </c>
      <c r="P115" s="18">
        <v>2</v>
      </c>
      <c r="Q115" s="18">
        <v>2</v>
      </c>
      <c r="R115" s="18">
        <v>2</v>
      </c>
      <c r="S115" s="18">
        <v>2</v>
      </c>
      <c r="T115" s="18">
        <v>2</v>
      </c>
      <c r="U115" s="18">
        <v>2</v>
      </c>
      <c r="V115" s="18">
        <v>2</v>
      </c>
      <c r="W115" s="18">
        <v>2</v>
      </c>
      <c r="X115" s="18">
        <v>2</v>
      </c>
      <c r="Y115" s="18">
        <v>2</v>
      </c>
      <c r="Z115" s="18">
        <v>2</v>
      </c>
      <c r="AA115" s="19">
        <v>0</v>
      </c>
      <c r="AB115" s="18">
        <v>0</v>
      </c>
      <c r="AC115" s="18">
        <v>0</v>
      </c>
      <c r="AD115" s="18">
        <v>0</v>
      </c>
      <c r="AE115" s="18">
        <v>0</v>
      </c>
    </row>
    <row r="116" spans="1:31" x14ac:dyDescent="0.25">
      <c r="A116" s="45"/>
      <c r="B116" s="45"/>
      <c r="C116" s="46" t="s">
        <v>123</v>
      </c>
      <c r="D116" s="48"/>
      <c r="E116" s="43" t="s">
        <v>47</v>
      </c>
      <c r="F116" s="44"/>
      <c r="G116" s="18">
        <v>2</v>
      </c>
      <c r="H116" s="18">
        <v>2</v>
      </c>
      <c r="I116" s="18">
        <v>2</v>
      </c>
      <c r="J116" s="18">
        <v>2</v>
      </c>
      <c r="K116" s="18">
        <v>2</v>
      </c>
      <c r="L116" s="18">
        <v>2</v>
      </c>
      <c r="M116" s="18">
        <v>2</v>
      </c>
      <c r="N116" s="18">
        <v>2</v>
      </c>
      <c r="O116" s="18">
        <v>2</v>
      </c>
      <c r="P116" s="18">
        <v>2</v>
      </c>
      <c r="Q116" s="18">
        <v>2</v>
      </c>
      <c r="R116" s="18">
        <v>2</v>
      </c>
      <c r="S116" s="18">
        <v>2</v>
      </c>
      <c r="T116" s="18">
        <v>2</v>
      </c>
      <c r="U116" s="18">
        <v>2</v>
      </c>
      <c r="V116" s="18">
        <v>2</v>
      </c>
      <c r="W116" s="18">
        <v>2</v>
      </c>
      <c r="X116" s="18">
        <v>2</v>
      </c>
      <c r="Y116" s="18">
        <v>2</v>
      </c>
      <c r="Z116" s="18">
        <v>2</v>
      </c>
      <c r="AA116" s="19">
        <v>0</v>
      </c>
      <c r="AB116" s="18">
        <v>0</v>
      </c>
      <c r="AC116" s="18">
        <v>0</v>
      </c>
      <c r="AD116" s="18">
        <v>0</v>
      </c>
      <c r="AE116" s="18">
        <v>0</v>
      </c>
    </row>
    <row r="117" spans="1:31" x14ac:dyDescent="0.25">
      <c r="A117" s="45"/>
      <c r="B117" s="45"/>
      <c r="C117" s="46" t="s">
        <v>124</v>
      </c>
      <c r="D117" s="48"/>
      <c r="E117" s="40" t="s">
        <v>69</v>
      </c>
      <c r="F117" s="40"/>
      <c r="G117" s="18">
        <v>2</v>
      </c>
      <c r="H117" s="18">
        <v>2</v>
      </c>
      <c r="I117" s="18">
        <v>2</v>
      </c>
      <c r="J117" s="18">
        <v>2</v>
      </c>
      <c r="K117" s="18">
        <v>2</v>
      </c>
      <c r="L117" s="18">
        <v>2</v>
      </c>
      <c r="M117" s="18">
        <v>2</v>
      </c>
      <c r="N117" s="18">
        <v>2</v>
      </c>
      <c r="O117" s="18">
        <v>2</v>
      </c>
      <c r="P117" s="18">
        <v>2</v>
      </c>
      <c r="Q117" s="18">
        <v>2</v>
      </c>
      <c r="R117" s="18">
        <v>2</v>
      </c>
      <c r="S117" s="18">
        <v>2</v>
      </c>
      <c r="T117" s="18">
        <v>2</v>
      </c>
      <c r="U117" s="18">
        <v>2</v>
      </c>
      <c r="V117" s="18">
        <v>2</v>
      </c>
      <c r="W117" s="18">
        <v>2</v>
      </c>
      <c r="X117" s="18">
        <v>2</v>
      </c>
      <c r="Y117" s="18">
        <v>2</v>
      </c>
      <c r="Z117" s="18">
        <v>2</v>
      </c>
      <c r="AA117" s="19">
        <v>0</v>
      </c>
      <c r="AB117" s="18">
        <v>0</v>
      </c>
      <c r="AC117" s="18">
        <v>0</v>
      </c>
      <c r="AD117" s="18">
        <v>0</v>
      </c>
      <c r="AE117" s="18">
        <v>0</v>
      </c>
    </row>
    <row r="118" spans="1:31" x14ac:dyDescent="0.25">
      <c r="A118" s="45"/>
      <c r="B118" s="45" t="s">
        <v>25</v>
      </c>
      <c r="C118" s="41" t="s">
        <v>125</v>
      </c>
      <c r="D118" s="41"/>
      <c r="E118" s="40" t="s">
        <v>54</v>
      </c>
      <c r="F118" s="40"/>
      <c r="G118" s="18">
        <v>2</v>
      </c>
      <c r="H118" s="18">
        <v>2</v>
      </c>
      <c r="I118" s="18">
        <v>2</v>
      </c>
      <c r="J118" s="18">
        <v>2</v>
      </c>
      <c r="K118" s="18">
        <v>2</v>
      </c>
      <c r="L118" s="18">
        <v>2</v>
      </c>
      <c r="M118" s="18">
        <v>2</v>
      </c>
      <c r="N118" s="18">
        <v>2</v>
      </c>
      <c r="O118" s="18">
        <v>2</v>
      </c>
      <c r="P118" s="18">
        <v>2</v>
      </c>
      <c r="Q118" s="18">
        <v>2</v>
      </c>
      <c r="R118" s="18">
        <v>2</v>
      </c>
      <c r="S118" s="18">
        <v>2</v>
      </c>
      <c r="T118" s="18">
        <v>2</v>
      </c>
      <c r="U118" s="18">
        <v>2</v>
      </c>
      <c r="V118" s="18">
        <v>2</v>
      </c>
      <c r="W118" s="18">
        <v>2</v>
      </c>
      <c r="X118" s="18">
        <v>2</v>
      </c>
      <c r="Y118" s="18">
        <v>2</v>
      </c>
      <c r="Z118" s="18">
        <v>2</v>
      </c>
      <c r="AA118" s="18">
        <v>2</v>
      </c>
      <c r="AB118" s="19">
        <v>0</v>
      </c>
      <c r="AC118" s="18">
        <v>0</v>
      </c>
      <c r="AD118" s="18">
        <v>0</v>
      </c>
      <c r="AE118" s="18">
        <v>0</v>
      </c>
    </row>
    <row r="119" spans="1:31" x14ac:dyDescent="0.25">
      <c r="A119" s="45"/>
      <c r="B119" s="45"/>
      <c r="C119" s="41" t="s">
        <v>126</v>
      </c>
      <c r="D119" s="41"/>
      <c r="E119" s="40" t="s">
        <v>69</v>
      </c>
      <c r="F119" s="40"/>
      <c r="G119" s="18">
        <v>2</v>
      </c>
      <c r="H119" s="18">
        <v>2</v>
      </c>
      <c r="I119" s="18">
        <v>2</v>
      </c>
      <c r="J119" s="18">
        <v>2</v>
      </c>
      <c r="K119" s="18">
        <v>2</v>
      </c>
      <c r="L119" s="18">
        <v>2</v>
      </c>
      <c r="M119" s="18">
        <v>2</v>
      </c>
      <c r="N119" s="18">
        <v>2</v>
      </c>
      <c r="O119" s="18">
        <v>2</v>
      </c>
      <c r="P119" s="18">
        <v>2</v>
      </c>
      <c r="Q119" s="18">
        <v>2</v>
      </c>
      <c r="R119" s="18">
        <v>2</v>
      </c>
      <c r="S119" s="18">
        <v>2</v>
      </c>
      <c r="T119" s="18">
        <v>2</v>
      </c>
      <c r="U119" s="18">
        <v>2</v>
      </c>
      <c r="V119" s="18">
        <v>2</v>
      </c>
      <c r="W119" s="18">
        <v>2</v>
      </c>
      <c r="X119" s="18">
        <v>2</v>
      </c>
      <c r="Y119" s="18">
        <v>2</v>
      </c>
      <c r="Z119" s="18">
        <v>2</v>
      </c>
      <c r="AA119" s="18">
        <v>2</v>
      </c>
      <c r="AB119" s="19">
        <v>0</v>
      </c>
      <c r="AC119" s="18">
        <v>0</v>
      </c>
      <c r="AD119" s="18">
        <v>0</v>
      </c>
      <c r="AE119" s="18">
        <v>0</v>
      </c>
    </row>
    <row r="120" spans="1:31" x14ac:dyDescent="0.25">
      <c r="A120" s="45"/>
      <c r="B120" s="45"/>
      <c r="C120" s="41" t="s">
        <v>127</v>
      </c>
      <c r="D120" s="41"/>
      <c r="E120" s="40" t="s">
        <v>47</v>
      </c>
      <c r="F120" s="40"/>
      <c r="G120" s="18">
        <v>2</v>
      </c>
      <c r="H120" s="18">
        <v>2</v>
      </c>
      <c r="I120" s="18">
        <v>2</v>
      </c>
      <c r="J120" s="18">
        <v>2</v>
      </c>
      <c r="K120" s="18">
        <v>2</v>
      </c>
      <c r="L120" s="18">
        <v>2</v>
      </c>
      <c r="M120" s="18">
        <v>2</v>
      </c>
      <c r="N120" s="18">
        <v>2</v>
      </c>
      <c r="O120" s="18">
        <v>2</v>
      </c>
      <c r="P120" s="18">
        <v>2</v>
      </c>
      <c r="Q120" s="18">
        <v>2</v>
      </c>
      <c r="R120" s="18">
        <v>2</v>
      </c>
      <c r="S120" s="18">
        <v>2</v>
      </c>
      <c r="T120" s="18">
        <v>2</v>
      </c>
      <c r="U120" s="18">
        <v>2</v>
      </c>
      <c r="V120" s="18">
        <v>2</v>
      </c>
      <c r="W120" s="18">
        <v>2</v>
      </c>
      <c r="X120" s="18">
        <v>2</v>
      </c>
      <c r="Y120" s="18">
        <v>2</v>
      </c>
      <c r="Z120" s="18">
        <v>2</v>
      </c>
      <c r="AA120" s="18">
        <v>2</v>
      </c>
      <c r="AB120" s="19">
        <v>0</v>
      </c>
      <c r="AC120" s="18">
        <v>0</v>
      </c>
      <c r="AD120" s="18">
        <v>0</v>
      </c>
      <c r="AE120" s="18">
        <v>0</v>
      </c>
    </row>
    <row r="121" spans="1:31" x14ac:dyDescent="0.25">
      <c r="A121" s="45"/>
      <c r="B121" s="45"/>
      <c r="C121" s="46" t="s">
        <v>128</v>
      </c>
      <c r="D121" s="48"/>
      <c r="E121" s="40" t="s">
        <v>70</v>
      </c>
      <c r="F121" s="40"/>
      <c r="G121" s="18">
        <v>2</v>
      </c>
      <c r="H121" s="18">
        <v>2</v>
      </c>
      <c r="I121" s="18">
        <v>2</v>
      </c>
      <c r="J121" s="18">
        <v>2</v>
      </c>
      <c r="K121" s="18">
        <v>2</v>
      </c>
      <c r="L121" s="18">
        <v>2</v>
      </c>
      <c r="M121" s="18">
        <v>2</v>
      </c>
      <c r="N121" s="18">
        <v>2</v>
      </c>
      <c r="O121" s="18">
        <v>2</v>
      </c>
      <c r="P121" s="18">
        <v>2</v>
      </c>
      <c r="Q121" s="18">
        <v>2</v>
      </c>
      <c r="R121" s="18">
        <v>2</v>
      </c>
      <c r="S121" s="18">
        <v>2</v>
      </c>
      <c r="T121" s="18">
        <v>2</v>
      </c>
      <c r="U121" s="18">
        <v>2</v>
      </c>
      <c r="V121" s="18">
        <v>2</v>
      </c>
      <c r="W121" s="18">
        <v>2</v>
      </c>
      <c r="X121" s="18">
        <v>2</v>
      </c>
      <c r="Y121" s="18">
        <v>2</v>
      </c>
      <c r="Z121" s="18">
        <v>2</v>
      </c>
      <c r="AA121" s="18">
        <v>2</v>
      </c>
      <c r="AB121" s="19">
        <v>0</v>
      </c>
      <c r="AC121" s="18">
        <v>0</v>
      </c>
      <c r="AD121" s="18">
        <v>0</v>
      </c>
      <c r="AE121" s="18">
        <v>0</v>
      </c>
    </row>
    <row r="122" spans="1:31" x14ac:dyDescent="0.25">
      <c r="A122" s="45"/>
      <c r="B122" s="45"/>
      <c r="C122" s="46" t="s">
        <v>129</v>
      </c>
      <c r="D122" s="48"/>
      <c r="E122" s="40" t="s">
        <v>55</v>
      </c>
      <c r="F122" s="40"/>
      <c r="G122" s="18">
        <v>2</v>
      </c>
      <c r="H122" s="18">
        <v>2</v>
      </c>
      <c r="I122" s="18">
        <v>2</v>
      </c>
      <c r="J122" s="18">
        <v>2</v>
      </c>
      <c r="K122" s="18">
        <v>2</v>
      </c>
      <c r="L122" s="18">
        <v>2</v>
      </c>
      <c r="M122" s="18">
        <v>2</v>
      </c>
      <c r="N122" s="18">
        <v>2</v>
      </c>
      <c r="O122" s="18">
        <v>2</v>
      </c>
      <c r="P122" s="18">
        <v>2</v>
      </c>
      <c r="Q122" s="18">
        <v>2</v>
      </c>
      <c r="R122" s="18">
        <v>2</v>
      </c>
      <c r="S122" s="18">
        <v>2</v>
      </c>
      <c r="T122" s="18">
        <v>2</v>
      </c>
      <c r="U122" s="18">
        <v>2</v>
      </c>
      <c r="V122" s="18">
        <v>2</v>
      </c>
      <c r="W122" s="18">
        <v>2</v>
      </c>
      <c r="X122" s="18">
        <v>2</v>
      </c>
      <c r="Y122" s="18">
        <v>2</v>
      </c>
      <c r="Z122" s="18">
        <v>2</v>
      </c>
      <c r="AA122" s="18">
        <v>2</v>
      </c>
      <c r="AB122" s="19">
        <v>0</v>
      </c>
      <c r="AC122" s="18">
        <v>0</v>
      </c>
      <c r="AD122" s="18">
        <v>0</v>
      </c>
      <c r="AE122" s="18">
        <v>0</v>
      </c>
    </row>
    <row r="123" spans="1:31" x14ac:dyDescent="0.25">
      <c r="A123" s="45"/>
      <c r="B123" s="45"/>
      <c r="C123" s="46" t="s">
        <v>130</v>
      </c>
      <c r="D123" s="48"/>
      <c r="E123" s="40" t="s">
        <v>47</v>
      </c>
      <c r="F123" s="40"/>
      <c r="G123" s="18">
        <v>2</v>
      </c>
      <c r="H123" s="18">
        <v>2</v>
      </c>
      <c r="I123" s="18">
        <v>2</v>
      </c>
      <c r="J123" s="18">
        <v>2</v>
      </c>
      <c r="K123" s="18">
        <v>2</v>
      </c>
      <c r="L123" s="18">
        <v>2</v>
      </c>
      <c r="M123" s="18">
        <v>2</v>
      </c>
      <c r="N123" s="18">
        <v>2</v>
      </c>
      <c r="O123" s="18">
        <v>2</v>
      </c>
      <c r="P123" s="18">
        <v>2</v>
      </c>
      <c r="Q123" s="18">
        <v>2</v>
      </c>
      <c r="R123" s="18">
        <v>2</v>
      </c>
      <c r="S123" s="18">
        <v>2</v>
      </c>
      <c r="T123" s="18">
        <v>2</v>
      </c>
      <c r="U123" s="18">
        <v>2</v>
      </c>
      <c r="V123" s="18">
        <v>2</v>
      </c>
      <c r="W123" s="18">
        <v>2</v>
      </c>
      <c r="X123" s="18">
        <v>2</v>
      </c>
      <c r="Y123" s="18">
        <v>2</v>
      </c>
      <c r="Z123" s="18">
        <v>2</v>
      </c>
      <c r="AA123" s="18">
        <v>2</v>
      </c>
      <c r="AB123" s="19">
        <v>0</v>
      </c>
      <c r="AC123" s="18">
        <v>0</v>
      </c>
      <c r="AD123" s="18">
        <v>0</v>
      </c>
      <c r="AE123" s="18">
        <v>0</v>
      </c>
    </row>
    <row r="124" spans="1:31" x14ac:dyDescent="0.25">
      <c r="A124" s="45"/>
      <c r="B124" s="45"/>
      <c r="C124" s="46" t="s">
        <v>131</v>
      </c>
      <c r="D124" s="48"/>
      <c r="E124" s="43" t="s">
        <v>54</v>
      </c>
      <c r="F124" s="44"/>
      <c r="G124" s="18">
        <v>2</v>
      </c>
      <c r="H124" s="18">
        <v>2</v>
      </c>
      <c r="I124" s="18">
        <v>2</v>
      </c>
      <c r="J124" s="18">
        <v>2</v>
      </c>
      <c r="K124" s="18">
        <v>2</v>
      </c>
      <c r="L124" s="18">
        <v>2</v>
      </c>
      <c r="M124" s="18">
        <v>2</v>
      </c>
      <c r="N124" s="18">
        <v>2</v>
      </c>
      <c r="O124" s="18">
        <v>2</v>
      </c>
      <c r="P124" s="18">
        <v>2</v>
      </c>
      <c r="Q124" s="18">
        <v>2</v>
      </c>
      <c r="R124" s="18">
        <v>2</v>
      </c>
      <c r="S124" s="18">
        <v>2</v>
      </c>
      <c r="T124" s="18">
        <v>2</v>
      </c>
      <c r="U124" s="18">
        <v>2</v>
      </c>
      <c r="V124" s="18">
        <v>2</v>
      </c>
      <c r="W124" s="18">
        <v>2</v>
      </c>
      <c r="X124" s="18">
        <v>2</v>
      </c>
      <c r="Y124" s="18">
        <v>2</v>
      </c>
      <c r="Z124" s="18">
        <v>2</v>
      </c>
      <c r="AA124" s="18">
        <v>2</v>
      </c>
      <c r="AB124" s="19">
        <v>0</v>
      </c>
      <c r="AC124" s="18">
        <v>0</v>
      </c>
      <c r="AD124" s="18">
        <v>0</v>
      </c>
      <c r="AE124" s="18">
        <v>0</v>
      </c>
    </row>
    <row r="125" spans="1:31" x14ac:dyDescent="0.25">
      <c r="A125" s="45"/>
      <c r="B125" s="45"/>
      <c r="C125" s="46" t="s">
        <v>132</v>
      </c>
      <c r="D125" s="48"/>
      <c r="E125" s="43" t="s">
        <v>69</v>
      </c>
      <c r="F125" s="44"/>
      <c r="G125" s="18">
        <v>2</v>
      </c>
      <c r="H125" s="18">
        <v>2</v>
      </c>
      <c r="I125" s="18">
        <v>2</v>
      </c>
      <c r="J125" s="18">
        <v>2</v>
      </c>
      <c r="K125" s="18">
        <v>2</v>
      </c>
      <c r="L125" s="18">
        <v>2</v>
      </c>
      <c r="M125" s="18">
        <v>2</v>
      </c>
      <c r="N125" s="18">
        <v>2</v>
      </c>
      <c r="O125" s="18">
        <v>2</v>
      </c>
      <c r="P125" s="18">
        <v>2</v>
      </c>
      <c r="Q125" s="18">
        <v>2</v>
      </c>
      <c r="R125" s="18">
        <v>2</v>
      </c>
      <c r="S125" s="18">
        <v>2</v>
      </c>
      <c r="T125" s="18">
        <v>2</v>
      </c>
      <c r="U125" s="18">
        <v>2</v>
      </c>
      <c r="V125" s="18">
        <v>2</v>
      </c>
      <c r="W125" s="18">
        <v>2</v>
      </c>
      <c r="X125" s="18">
        <v>2</v>
      </c>
      <c r="Y125" s="18">
        <v>2</v>
      </c>
      <c r="Z125" s="18">
        <v>2</v>
      </c>
      <c r="AA125" s="18">
        <v>2</v>
      </c>
      <c r="AB125" s="18">
        <v>2</v>
      </c>
      <c r="AC125" s="19">
        <v>0</v>
      </c>
      <c r="AD125" s="18">
        <v>0</v>
      </c>
      <c r="AE125" s="18">
        <v>0</v>
      </c>
    </row>
    <row r="126" spans="1:31" x14ac:dyDescent="0.25">
      <c r="A126" s="45"/>
      <c r="B126" s="45"/>
      <c r="C126" s="46" t="s">
        <v>133</v>
      </c>
      <c r="D126" s="48"/>
      <c r="E126" s="43" t="s">
        <v>70</v>
      </c>
      <c r="F126" s="44"/>
      <c r="G126" s="18">
        <v>2</v>
      </c>
      <c r="H126" s="18">
        <v>2</v>
      </c>
      <c r="I126" s="18">
        <v>2</v>
      </c>
      <c r="J126" s="18">
        <v>2</v>
      </c>
      <c r="K126" s="18">
        <v>2</v>
      </c>
      <c r="L126" s="18">
        <v>2</v>
      </c>
      <c r="M126" s="18">
        <v>2</v>
      </c>
      <c r="N126" s="18">
        <v>2</v>
      </c>
      <c r="O126" s="18">
        <v>2</v>
      </c>
      <c r="P126" s="18">
        <v>2</v>
      </c>
      <c r="Q126" s="18">
        <v>2</v>
      </c>
      <c r="R126" s="18">
        <v>2</v>
      </c>
      <c r="S126" s="18">
        <v>2</v>
      </c>
      <c r="T126" s="18">
        <v>2</v>
      </c>
      <c r="U126" s="18">
        <v>2</v>
      </c>
      <c r="V126" s="18">
        <v>2</v>
      </c>
      <c r="W126" s="18">
        <v>2</v>
      </c>
      <c r="X126" s="18">
        <v>2</v>
      </c>
      <c r="Y126" s="18">
        <v>2</v>
      </c>
      <c r="Z126" s="18">
        <v>2</v>
      </c>
      <c r="AA126" s="18">
        <v>2</v>
      </c>
      <c r="AB126" s="18">
        <v>2</v>
      </c>
      <c r="AC126" s="19">
        <v>0</v>
      </c>
      <c r="AD126" s="18">
        <v>0</v>
      </c>
      <c r="AE126" s="18">
        <v>0</v>
      </c>
    </row>
    <row r="127" spans="1:31" x14ac:dyDescent="0.25">
      <c r="A127" s="45"/>
      <c r="B127" s="45"/>
      <c r="C127" s="46" t="s">
        <v>134</v>
      </c>
      <c r="D127" s="48"/>
      <c r="E127" s="43" t="s">
        <v>55</v>
      </c>
      <c r="F127" s="44"/>
      <c r="G127" s="18">
        <v>2</v>
      </c>
      <c r="H127" s="18">
        <v>2</v>
      </c>
      <c r="I127" s="18">
        <v>2</v>
      </c>
      <c r="J127" s="18">
        <v>2</v>
      </c>
      <c r="K127" s="18">
        <v>2</v>
      </c>
      <c r="L127" s="18">
        <v>2</v>
      </c>
      <c r="M127" s="18">
        <v>2</v>
      </c>
      <c r="N127" s="18">
        <v>2</v>
      </c>
      <c r="O127" s="18">
        <v>2</v>
      </c>
      <c r="P127" s="18">
        <v>2</v>
      </c>
      <c r="Q127" s="18">
        <v>2</v>
      </c>
      <c r="R127" s="18">
        <v>2</v>
      </c>
      <c r="S127" s="18">
        <v>2</v>
      </c>
      <c r="T127" s="18">
        <v>2</v>
      </c>
      <c r="U127" s="18">
        <v>2</v>
      </c>
      <c r="V127" s="18">
        <v>2</v>
      </c>
      <c r="W127" s="18">
        <v>2</v>
      </c>
      <c r="X127" s="18">
        <v>2</v>
      </c>
      <c r="Y127" s="18">
        <v>2</v>
      </c>
      <c r="Z127" s="18">
        <v>2</v>
      </c>
      <c r="AA127" s="18">
        <v>2</v>
      </c>
      <c r="AB127" s="18">
        <v>2</v>
      </c>
      <c r="AC127" s="19">
        <v>0</v>
      </c>
      <c r="AD127" s="18">
        <v>0</v>
      </c>
      <c r="AE127" s="18">
        <v>0</v>
      </c>
    </row>
    <row r="128" spans="1:31" x14ac:dyDescent="0.25">
      <c r="A128" s="45"/>
      <c r="B128" s="45"/>
      <c r="C128" s="46" t="s">
        <v>135</v>
      </c>
      <c r="D128" s="48"/>
      <c r="E128" s="43" t="s">
        <v>55</v>
      </c>
      <c r="F128" s="44"/>
      <c r="G128" s="18">
        <v>2</v>
      </c>
      <c r="H128" s="18">
        <v>2</v>
      </c>
      <c r="I128" s="18">
        <v>2</v>
      </c>
      <c r="J128" s="18">
        <v>2</v>
      </c>
      <c r="K128" s="18">
        <v>2</v>
      </c>
      <c r="L128" s="18">
        <v>2</v>
      </c>
      <c r="M128" s="18">
        <v>2</v>
      </c>
      <c r="N128" s="18">
        <v>2</v>
      </c>
      <c r="O128" s="18">
        <v>2</v>
      </c>
      <c r="P128" s="18">
        <v>2</v>
      </c>
      <c r="Q128" s="18">
        <v>2</v>
      </c>
      <c r="R128" s="18">
        <v>2</v>
      </c>
      <c r="S128" s="18">
        <v>2</v>
      </c>
      <c r="T128" s="18">
        <v>2</v>
      </c>
      <c r="U128" s="18">
        <v>2</v>
      </c>
      <c r="V128" s="18">
        <v>2</v>
      </c>
      <c r="W128" s="18">
        <v>2</v>
      </c>
      <c r="X128" s="18">
        <v>2</v>
      </c>
      <c r="Y128" s="18">
        <v>2</v>
      </c>
      <c r="Z128" s="18">
        <v>2</v>
      </c>
      <c r="AA128" s="18">
        <v>2</v>
      </c>
      <c r="AB128" s="18">
        <v>2</v>
      </c>
      <c r="AC128" s="19">
        <v>0</v>
      </c>
      <c r="AD128" s="18">
        <v>0</v>
      </c>
      <c r="AE128" s="18">
        <v>0</v>
      </c>
    </row>
    <row r="129" spans="1:31" x14ac:dyDescent="0.25">
      <c r="A129" s="45"/>
      <c r="B129" s="45"/>
      <c r="C129" s="46" t="s">
        <v>136</v>
      </c>
      <c r="D129" s="48"/>
      <c r="E129" s="43" t="s">
        <v>69</v>
      </c>
      <c r="F129" s="44"/>
      <c r="G129" s="18">
        <v>2</v>
      </c>
      <c r="H129" s="18">
        <v>2</v>
      </c>
      <c r="I129" s="18">
        <v>2</v>
      </c>
      <c r="J129" s="18">
        <v>2</v>
      </c>
      <c r="K129" s="18">
        <v>2</v>
      </c>
      <c r="L129" s="18">
        <v>2</v>
      </c>
      <c r="M129" s="18">
        <v>2</v>
      </c>
      <c r="N129" s="18">
        <v>2</v>
      </c>
      <c r="O129" s="18">
        <v>2</v>
      </c>
      <c r="P129" s="18">
        <v>2</v>
      </c>
      <c r="Q129" s="18">
        <v>2</v>
      </c>
      <c r="R129" s="18">
        <v>2</v>
      </c>
      <c r="S129" s="18">
        <v>2</v>
      </c>
      <c r="T129" s="18">
        <v>2</v>
      </c>
      <c r="U129" s="18">
        <v>2</v>
      </c>
      <c r="V129" s="18">
        <v>2</v>
      </c>
      <c r="W129" s="18">
        <v>2</v>
      </c>
      <c r="X129" s="18">
        <v>2</v>
      </c>
      <c r="Y129" s="18">
        <v>2</v>
      </c>
      <c r="Z129" s="18">
        <v>2</v>
      </c>
      <c r="AA129" s="18">
        <v>2</v>
      </c>
      <c r="AB129" s="18">
        <v>2</v>
      </c>
      <c r="AC129" s="19">
        <v>0</v>
      </c>
      <c r="AD129" s="18">
        <v>0</v>
      </c>
      <c r="AE129" s="18">
        <v>0</v>
      </c>
    </row>
    <row r="130" spans="1:31" x14ac:dyDescent="0.25">
      <c r="A130" s="45"/>
      <c r="B130" s="45"/>
      <c r="C130" s="46" t="s">
        <v>137</v>
      </c>
      <c r="D130" s="48"/>
      <c r="E130" s="40" t="s">
        <v>54</v>
      </c>
      <c r="F130" s="40"/>
      <c r="G130" s="18">
        <v>2</v>
      </c>
      <c r="H130" s="18">
        <v>2</v>
      </c>
      <c r="I130" s="18">
        <v>2</v>
      </c>
      <c r="J130" s="18">
        <v>2</v>
      </c>
      <c r="K130" s="18">
        <v>2</v>
      </c>
      <c r="L130" s="18">
        <v>2</v>
      </c>
      <c r="M130" s="18">
        <v>2</v>
      </c>
      <c r="N130" s="18">
        <v>2</v>
      </c>
      <c r="O130" s="18">
        <v>2</v>
      </c>
      <c r="P130" s="18">
        <v>2</v>
      </c>
      <c r="Q130" s="18">
        <v>2</v>
      </c>
      <c r="R130" s="18">
        <v>2</v>
      </c>
      <c r="S130" s="18">
        <v>2</v>
      </c>
      <c r="T130" s="18">
        <v>2</v>
      </c>
      <c r="U130" s="18">
        <v>2</v>
      </c>
      <c r="V130" s="18">
        <v>2</v>
      </c>
      <c r="W130" s="18">
        <v>2</v>
      </c>
      <c r="X130" s="18">
        <v>2</v>
      </c>
      <c r="Y130" s="18">
        <v>2</v>
      </c>
      <c r="Z130" s="18">
        <v>2</v>
      </c>
      <c r="AA130" s="18">
        <v>2</v>
      </c>
      <c r="AB130" s="18">
        <v>2</v>
      </c>
      <c r="AC130" s="19">
        <v>0</v>
      </c>
      <c r="AD130" s="18">
        <v>0</v>
      </c>
      <c r="AE130" s="18">
        <v>0</v>
      </c>
    </row>
    <row r="131" spans="1:31" x14ac:dyDescent="0.25">
      <c r="A131" s="45"/>
      <c r="B131" s="45"/>
      <c r="C131" s="46" t="s">
        <v>138</v>
      </c>
      <c r="D131" s="48"/>
      <c r="E131" s="42" t="s">
        <v>47</v>
      </c>
      <c r="F131" s="42"/>
      <c r="G131" s="18">
        <v>2</v>
      </c>
      <c r="H131" s="18">
        <v>2</v>
      </c>
      <c r="I131" s="18">
        <v>2</v>
      </c>
      <c r="J131" s="18">
        <v>2</v>
      </c>
      <c r="K131" s="18">
        <v>2</v>
      </c>
      <c r="L131" s="18">
        <v>2</v>
      </c>
      <c r="M131" s="18">
        <v>2</v>
      </c>
      <c r="N131" s="18">
        <v>2</v>
      </c>
      <c r="O131" s="18">
        <v>2</v>
      </c>
      <c r="P131" s="18">
        <v>2</v>
      </c>
      <c r="Q131" s="18">
        <v>2</v>
      </c>
      <c r="R131" s="18">
        <v>2</v>
      </c>
      <c r="S131" s="18">
        <v>2</v>
      </c>
      <c r="T131" s="18">
        <v>2</v>
      </c>
      <c r="U131" s="18">
        <v>2</v>
      </c>
      <c r="V131" s="18">
        <v>2</v>
      </c>
      <c r="W131" s="18">
        <v>2</v>
      </c>
      <c r="X131" s="18">
        <v>2</v>
      </c>
      <c r="Y131" s="18">
        <v>2</v>
      </c>
      <c r="Z131" s="18">
        <v>2</v>
      </c>
      <c r="AA131" s="18">
        <v>2</v>
      </c>
      <c r="AB131" s="18">
        <v>2</v>
      </c>
      <c r="AC131" s="19">
        <v>0</v>
      </c>
      <c r="AD131" s="18">
        <v>0</v>
      </c>
      <c r="AE131" s="18">
        <v>0</v>
      </c>
    </row>
    <row r="132" spans="1:31" x14ac:dyDescent="0.25">
      <c r="A132" s="45"/>
      <c r="B132" s="45" t="s">
        <v>32</v>
      </c>
      <c r="C132" s="41" t="s">
        <v>139</v>
      </c>
      <c r="D132" s="41"/>
      <c r="E132" s="42" t="s">
        <v>54</v>
      </c>
      <c r="F132" s="42"/>
      <c r="G132" s="18">
        <v>2</v>
      </c>
      <c r="H132" s="18">
        <v>2</v>
      </c>
      <c r="I132" s="18">
        <v>2</v>
      </c>
      <c r="J132" s="18">
        <v>2</v>
      </c>
      <c r="K132" s="18">
        <v>2</v>
      </c>
      <c r="L132" s="18">
        <v>2</v>
      </c>
      <c r="M132" s="18">
        <v>2</v>
      </c>
      <c r="N132" s="18">
        <v>2</v>
      </c>
      <c r="O132" s="18">
        <v>2</v>
      </c>
      <c r="P132" s="18">
        <v>2</v>
      </c>
      <c r="Q132" s="18">
        <v>2</v>
      </c>
      <c r="R132" s="18">
        <v>2</v>
      </c>
      <c r="S132" s="18">
        <v>2</v>
      </c>
      <c r="T132" s="18">
        <v>2</v>
      </c>
      <c r="U132" s="18">
        <v>2</v>
      </c>
      <c r="V132" s="18">
        <v>2</v>
      </c>
      <c r="W132" s="18">
        <v>2</v>
      </c>
      <c r="X132" s="18">
        <v>2</v>
      </c>
      <c r="Y132" s="18">
        <v>2</v>
      </c>
      <c r="Z132" s="18">
        <v>2</v>
      </c>
      <c r="AA132" s="18">
        <v>2</v>
      </c>
      <c r="AB132" s="18">
        <v>2</v>
      </c>
      <c r="AC132" s="18">
        <v>2</v>
      </c>
      <c r="AD132" s="19">
        <v>0</v>
      </c>
      <c r="AE132" s="18">
        <v>0</v>
      </c>
    </row>
    <row r="133" spans="1:31" x14ac:dyDescent="0.25">
      <c r="A133" s="45"/>
      <c r="B133" s="45"/>
      <c r="C133" s="41" t="s">
        <v>140</v>
      </c>
      <c r="D133" s="41"/>
      <c r="E133" s="42" t="s">
        <v>69</v>
      </c>
      <c r="F133" s="42"/>
      <c r="G133" s="18">
        <v>2</v>
      </c>
      <c r="H133" s="18">
        <v>2</v>
      </c>
      <c r="I133" s="18">
        <v>2</v>
      </c>
      <c r="J133" s="18">
        <v>2</v>
      </c>
      <c r="K133" s="18">
        <v>2</v>
      </c>
      <c r="L133" s="18">
        <v>2</v>
      </c>
      <c r="M133" s="18">
        <v>2</v>
      </c>
      <c r="N133" s="18">
        <v>2</v>
      </c>
      <c r="O133" s="18">
        <v>2</v>
      </c>
      <c r="P133" s="18">
        <v>2</v>
      </c>
      <c r="Q133" s="18">
        <v>2</v>
      </c>
      <c r="R133" s="18">
        <v>2</v>
      </c>
      <c r="S133" s="18">
        <v>2</v>
      </c>
      <c r="T133" s="18">
        <v>2</v>
      </c>
      <c r="U133" s="18">
        <v>2</v>
      </c>
      <c r="V133" s="18">
        <v>2</v>
      </c>
      <c r="W133" s="18">
        <v>2</v>
      </c>
      <c r="X133" s="18">
        <v>2</v>
      </c>
      <c r="Y133" s="18">
        <v>2</v>
      </c>
      <c r="Z133" s="18">
        <v>2</v>
      </c>
      <c r="AA133" s="18">
        <v>2</v>
      </c>
      <c r="AB133" s="18">
        <v>2</v>
      </c>
      <c r="AC133" s="18">
        <v>2</v>
      </c>
      <c r="AD133" s="19">
        <v>0</v>
      </c>
      <c r="AE133" s="18">
        <v>0</v>
      </c>
    </row>
    <row r="134" spans="1:31" x14ac:dyDescent="0.25">
      <c r="A134" s="45"/>
      <c r="B134" s="45"/>
      <c r="C134" s="41" t="s">
        <v>141</v>
      </c>
      <c r="D134" s="41"/>
      <c r="E134" s="42" t="s">
        <v>47</v>
      </c>
      <c r="F134" s="42"/>
      <c r="G134" s="18">
        <v>2</v>
      </c>
      <c r="H134" s="18">
        <v>2</v>
      </c>
      <c r="I134" s="18">
        <v>2</v>
      </c>
      <c r="J134" s="18">
        <v>2</v>
      </c>
      <c r="K134" s="18">
        <v>2</v>
      </c>
      <c r="L134" s="18">
        <v>2</v>
      </c>
      <c r="M134" s="18">
        <v>2</v>
      </c>
      <c r="N134" s="18">
        <v>2</v>
      </c>
      <c r="O134" s="18">
        <v>2</v>
      </c>
      <c r="P134" s="18">
        <v>2</v>
      </c>
      <c r="Q134" s="18">
        <v>2</v>
      </c>
      <c r="R134" s="18">
        <v>2</v>
      </c>
      <c r="S134" s="18">
        <v>2</v>
      </c>
      <c r="T134" s="18">
        <v>2</v>
      </c>
      <c r="U134" s="18">
        <v>2</v>
      </c>
      <c r="V134" s="18">
        <v>2</v>
      </c>
      <c r="W134" s="18">
        <v>2</v>
      </c>
      <c r="X134" s="18">
        <v>2</v>
      </c>
      <c r="Y134" s="18">
        <v>2</v>
      </c>
      <c r="Z134" s="18">
        <v>2</v>
      </c>
      <c r="AA134" s="18">
        <v>2</v>
      </c>
      <c r="AB134" s="18">
        <v>2</v>
      </c>
      <c r="AC134" s="18">
        <v>2</v>
      </c>
      <c r="AD134" s="19">
        <v>0</v>
      </c>
      <c r="AE134" s="18">
        <v>0</v>
      </c>
    </row>
    <row r="135" spans="1:31" x14ac:dyDescent="0.25">
      <c r="A135" s="45"/>
      <c r="B135" s="45"/>
      <c r="C135" s="46" t="s">
        <v>142</v>
      </c>
      <c r="D135" s="48"/>
      <c r="E135" s="42" t="s">
        <v>70</v>
      </c>
      <c r="F135" s="42"/>
      <c r="G135" s="18">
        <v>2</v>
      </c>
      <c r="H135" s="18">
        <v>2</v>
      </c>
      <c r="I135" s="18">
        <v>2</v>
      </c>
      <c r="J135" s="18">
        <v>2</v>
      </c>
      <c r="K135" s="18">
        <v>2</v>
      </c>
      <c r="L135" s="18">
        <v>2</v>
      </c>
      <c r="M135" s="18">
        <v>2</v>
      </c>
      <c r="N135" s="18">
        <v>2</v>
      </c>
      <c r="O135" s="18">
        <v>2</v>
      </c>
      <c r="P135" s="18">
        <v>2</v>
      </c>
      <c r="Q135" s="18">
        <v>2</v>
      </c>
      <c r="R135" s="18">
        <v>2</v>
      </c>
      <c r="S135" s="18">
        <v>2</v>
      </c>
      <c r="T135" s="18">
        <v>2</v>
      </c>
      <c r="U135" s="18">
        <v>2</v>
      </c>
      <c r="V135" s="18">
        <v>2</v>
      </c>
      <c r="W135" s="18">
        <v>2</v>
      </c>
      <c r="X135" s="18">
        <v>2</v>
      </c>
      <c r="Y135" s="18">
        <v>2</v>
      </c>
      <c r="Z135" s="18">
        <v>2</v>
      </c>
      <c r="AA135" s="18">
        <v>2</v>
      </c>
      <c r="AB135" s="18">
        <v>2</v>
      </c>
      <c r="AC135" s="18">
        <v>2</v>
      </c>
      <c r="AD135" s="19">
        <v>0</v>
      </c>
      <c r="AE135" s="18">
        <v>0</v>
      </c>
    </row>
    <row r="136" spans="1:31" x14ac:dyDescent="0.25">
      <c r="A136" s="45"/>
      <c r="B136" s="45"/>
      <c r="C136" s="46" t="s">
        <v>143</v>
      </c>
      <c r="D136" s="48"/>
      <c r="E136" s="42" t="s">
        <v>55</v>
      </c>
      <c r="F136" s="42"/>
      <c r="G136" s="18">
        <v>2</v>
      </c>
      <c r="H136" s="18">
        <v>2</v>
      </c>
      <c r="I136" s="18">
        <v>2</v>
      </c>
      <c r="J136" s="18">
        <v>2</v>
      </c>
      <c r="K136" s="18">
        <v>2</v>
      </c>
      <c r="L136" s="18">
        <v>2</v>
      </c>
      <c r="M136" s="18">
        <v>2</v>
      </c>
      <c r="N136" s="18">
        <v>2</v>
      </c>
      <c r="O136" s="18">
        <v>2</v>
      </c>
      <c r="P136" s="18">
        <v>2</v>
      </c>
      <c r="Q136" s="18">
        <v>2</v>
      </c>
      <c r="R136" s="18">
        <v>2</v>
      </c>
      <c r="S136" s="18">
        <v>2</v>
      </c>
      <c r="T136" s="18">
        <v>2</v>
      </c>
      <c r="U136" s="18">
        <v>2</v>
      </c>
      <c r="V136" s="18">
        <v>2</v>
      </c>
      <c r="W136" s="18">
        <v>2</v>
      </c>
      <c r="X136" s="18">
        <v>2</v>
      </c>
      <c r="Y136" s="18">
        <v>2</v>
      </c>
      <c r="Z136" s="18">
        <v>2</v>
      </c>
      <c r="AA136" s="18">
        <v>2</v>
      </c>
      <c r="AB136" s="18">
        <v>2</v>
      </c>
      <c r="AC136" s="18">
        <v>2</v>
      </c>
      <c r="AD136" s="19">
        <v>0</v>
      </c>
      <c r="AE136" s="18">
        <v>0</v>
      </c>
    </row>
    <row r="137" spans="1:31" x14ac:dyDescent="0.25">
      <c r="A137" s="45"/>
      <c r="B137" s="45"/>
      <c r="C137" s="46" t="s">
        <v>144</v>
      </c>
      <c r="D137" s="48"/>
      <c r="E137" s="42" t="s">
        <v>47</v>
      </c>
      <c r="F137" s="42"/>
      <c r="G137" s="18">
        <v>2</v>
      </c>
      <c r="H137" s="18">
        <v>2</v>
      </c>
      <c r="I137" s="18">
        <v>2</v>
      </c>
      <c r="J137" s="18">
        <v>2</v>
      </c>
      <c r="K137" s="18">
        <v>2</v>
      </c>
      <c r="L137" s="18">
        <v>2</v>
      </c>
      <c r="M137" s="18">
        <v>2</v>
      </c>
      <c r="N137" s="18">
        <v>2</v>
      </c>
      <c r="O137" s="18">
        <v>2</v>
      </c>
      <c r="P137" s="18">
        <v>2</v>
      </c>
      <c r="Q137" s="18">
        <v>2</v>
      </c>
      <c r="R137" s="18">
        <v>2</v>
      </c>
      <c r="S137" s="18">
        <v>2</v>
      </c>
      <c r="T137" s="18">
        <v>2</v>
      </c>
      <c r="U137" s="18">
        <v>2</v>
      </c>
      <c r="V137" s="18">
        <v>2</v>
      </c>
      <c r="W137" s="18">
        <v>2</v>
      </c>
      <c r="X137" s="18">
        <v>2</v>
      </c>
      <c r="Y137" s="18">
        <v>2</v>
      </c>
      <c r="Z137" s="18">
        <v>2</v>
      </c>
      <c r="AA137" s="18">
        <v>2</v>
      </c>
      <c r="AB137" s="18">
        <v>2</v>
      </c>
      <c r="AC137" s="18">
        <v>2</v>
      </c>
      <c r="AD137" s="19">
        <v>0</v>
      </c>
      <c r="AE137" s="18">
        <v>0</v>
      </c>
    </row>
    <row r="138" spans="1:31" x14ac:dyDescent="0.25">
      <c r="A138" s="45"/>
      <c r="B138" s="45"/>
      <c r="C138" s="46" t="s">
        <v>145</v>
      </c>
      <c r="D138" s="48"/>
      <c r="E138" s="59" t="s">
        <v>54</v>
      </c>
      <c r="F138" s="60"/>
      <c r="G138" s="18">
        <v>2</v>
      </c>
      <c r="H138" s="18">
        <v>2</v>
      </c>
      <c r="I138" s="18">
        <v>2</v>
      </c>
      <c r="J138" s="18">
        <v>2</v>
      </c>
      <c r="K138" s="18">
        <v>2</v>
      </c>
      <c r="L138" s="18">
        <v>2</v>
      </c>
      <c r="M138" s="18">
        <v>2</v>
      </c>
      <c r="N138" s="18">
        <v>2</v>
      </c>
      <c r="O138" s="18">
        <v>2</v>
      </c>
      <c r="P138" s="18">
        <v>2</v>
      </c>
      <c r="Q138" s="18">
        <v>2</v>
      </c>
      <c r="R138" s="18">
        <v>2</v>
      </c>
      <c r="S138" s="18">
        <v>2</v>
      </c>
      <c r="T138" s="18">
        <v>2</v>
      </c>
      <c r="U138" s="18">
        <v>2</v>
      </c>
      <c r="V138" s="18">
        <v>2</v>
      </c>
      <c r="W138" s="18">
        <v>2</v>
      </c>
      <c r="X138" s="18">
        <v>2</v>
      </c>
      <c r="Y138" s="18">
        <v>2</v>
      </c>
      <c r="Z138" s="18">
        <v>2</v>
      </c>
      <c r="AA138" s="18">
        <v>2</v>
      </c>
      <c r="AB138" s="18">
        <v>2</v>
      </c>
      <c r="AC138" s="18">
        <v>2</v>
      </c>
      <c r="AD138" s="19">
        <v>0</v>
      </c>
      <c r="AE138" s="18">
        <v>0</v>
      </c>
    </row>
    <row r="139" spans="1:31" x14ac:dyDescent="0.25">
      <c r="A139" s="45"/>
      <c r="B139" s="45"/>
      <c r="C139" s="46" t="s">
        <v>146</v>
      </c>
      <c r="D139" s="48"/>
      <c r="E139" s="59" t="s">
        <v>69</v>
      </c>
      <c r="F139" s="60"/>
      <c r="G139" s="18">
        <v>2</v>
      </c>
      <c r="H139" s="18">
        <v>2</v>
      </c>
      <c r="I139" s="18">
        <v>2</v>
      </c>
      <c r="J139" s="18">
        <v>2</v>
      </c>
      <c r="K139" s="18">
        <v>2</v>
      </c>
      <c r="L139" s="18">
        <v>2</v>
      </c>
      <c r="M139" s="18">
        <v>2</v>
      </c>
      <c r="N139" s="18">
        <v>2</v>
      </c>
      <c r="O139" s="18">
        <v>2</v>
      </c>
      <c r="P139" s="18">
        <v>2</v>
      </c>
      <c r="Q139" s="18">
        <v>2</v>
      </c>
      <c r="R139" s="18">
        <v>2</v>
      </c>
      <c r="S139" s="18">
        <v>2</v>
      </c>
      <c r="T139" s="18">
        <v>2</v>
      </c>
      <c r="U139" s="18">
        <v>2</v>
      </c>
      <c r="V139" s="18">
        <v>2</v>
      </c>
      <c r="W139" s="18">
        <v>2</v>
      </c>
      <c r="X139" s="18">
        <v>2</v>
      </c>
      <c r="Y139" s="18">
        <v>2</v>
      </c>
      <c r="Z139" s="18">
        <v>2</v>
      </c>
      <c r="AA139" s="18">
        <v>2</v>
      </c>
      <c r="AB139" s="18">
        <v>2</v>
      </c>
      <c r="AC139" s="18">
        <v>2</v>
      </c>
      <c r="AD139" s="19">
        <v>0</v>
      </c>
      <c r="AE139" s="18">
        <v>0</v>
      </c>
    </row>
    <row r="140" spans="1:31" x14ac:dyDescent="0.25">
      <c r="A140" s="45"/>
      <c r="B140" s="45"/>
      <c r="C140" s="46" t="s">
        <v>147</v>
      </c>
      <c r="D140" s="48"/>
      <c r="E140" s="59" t="s">
        <v>70</v>
      </c>
      <c r="F140" s="60"/>
      <c r="G140" s="18">
        <v>2</v>
      </c>
      <c r="H140" s="18">
        <v>2</v>
      </c>
      <c r="I140" s="18">
        <v>2</v>
      </c>
      <c r="J140" s="18">
        <v>2</v>
      </c>
      <c r="K140" s="18">
        <v>2</v>
      </c>
      <c r="L140" s="18">
        <v>2</v>
      </c>
      <c r="M140" s="18">
        <v>2</v>
      </c>
      <c r="N140" s="18">
        <v>2</v>
      </c>
      <c r="O140" s="18">
        <v>2</v>
      </c>
      <c r="P140" s="18">
        <v>2</v>
      </c>
      <c r="Q140" s="18">
        <v>2</v>
      </c>
      <c r="R140" s="18">
        <v>2</v>
      </c>
      <c r="S140" s="18">
        <v>2</v>
      </c>
      <c r="T140" s="18">
        <v>2</v>
      </c>
      <c r="U140" s="18">
        <v>2</v>
      </c>
      <c r="V140" s="18">
        <v>2</v>
      </c>
      <c r="W140" s="18">
        <v>2</v>
      </c>
      <c r="X140" s="18">
        <v>2</v>
      </c>
      <c r="Y140" s="18">
        <v>2</v>
      </c>
      <c r="Z140" s="18">
        <v>2</v>
      </c>
      <c r="AA140" s="18">
        <v>2</v>
      </c>
      <c r="AB140" s="18">
        <v>2</v>
      </c>
      <c r="AC140" s="18">
        <v>2</v>
      </c>
      <c r="AD140" s="19">
        <v>0</v>
      </c>
      <c r="AE140" s="18">
        <v>0</v>
      </c>
    </row>
    <row r="141" spans="1:31" x14ac:dyDescent="0.25">
      <c r="A141" s="45"/>
      <c r="B141" s="45"/>
      <c r="C141" s="46" t="s">
        <v>148</v>
      </c>
      <c r="D141" s="48"/>
      <c r="E141" s="59" t="s">
        <v>55</v>
      </c>
      <c r="F141" s="60"/>
      <c r="G141" s="18">
        <v>2</v>
      </c>
      <c r="H141" s="18">
        <v>2</v>
      </c>
      <c r="I141" s="18">
        <v>2</v>
      </c>
      <c r="J141" s="18">
        <v>2</v>
      </c>
      <c r="K141" s="18">
        <v>2</v>
      </c>
      <c r="L141" s="18">
        <v>2</v>
      </c>
      <c r="M141" s="18">
        <v>2</v>
      </c>
      <c r="N141" s="18">
        <v>2</v>
      </c>
      <c r="O141" s="18">
        <v>2</v>
      </c>
      <c r="P141" s="18">
        <v>2</v>
      </c>
      <c r="Q141" s="18">
        <v>2</v>
      </c>
      <c r="R141" s="18">
        <v>2</v>
      </c>
      <c r="S141" s="18">
        <v>2</v>
      </c>
      <c r="T141" s="18">
        <v>2</v>
      </c>
      <c r="U141" s="18">
        <v>2</v>
      </c>
      <c r="V141" s="18">
        <v>2</v>
      </c>
      <c r="W141" s="18">
        <v>2</v>
      </c>
      <c r="X141" s="18">
        <v>2</v>
      </c>
      <c r="Y141" s="18">
        <v>2</v>
      </c>
      <c r="Z141" s="18">
        <v>2</v>
      </c>
      <c r="AA141" s="18">
        <v>2</v>
      </c>
      <c r="AB141" s="18">
        <v>2</v>
      </c>
      <c r="AC141" s="18">
        <v>2</v>
      </c>
      <c r="AD141" s="19">
        <v>0</v>
      </c>
      <c r="AE141" s="18">
        <v>0</v>
      </c>
    </row>
    <row r="142" spans="1:31" x14ac:dyDescent="0.25">
      <c r="A142" s="45"/>
      <c r="B142" s="45"/>
      <c r="C142" s="46" t="s">
        <v>149</v>
      </c>
      <c r="D142" s="48"/>
      <c r="E142" s="59" t="s">
        <v>55</v>
      </c>
      <c r="F142" s="60"/>
      <c r="G142" s="18">
        <v>2</v>
      </c>
      <c r="H142" s="18">
        <v>2</v>
      </c>
      <c r="I142" s="18">
        <v>2</v>
      </c>
      <c r="J142" s="18">
        <v>2</v>
      </c>
      <c r="K142" s="18">
        <v>2</v>
      </c>
      <c r="L142" s="18">
        <v>2</v>
      </c>
      <c r="M142" s="18">
        <v>2</v>
      </c>
      <c r="N142" s="18">
        <v>2</v>
      </c>
      <c r="O142" s="18">
        <v>2</v>
      </c>
      <c r="P142" s="18">
        <v>2</v>
      </c>
      <c r="Q142" s="18">
        <v>2</v>
      </c>
      <c r="R142" s="18">
        <v>2</v>
      </c>
      <c r="S142" s="18">
        <v>2</v>
      </c>
      <c r="T142" s="18">
        <v>2</v>
      </c>
      <c r="U142" s="18">
        <v>2</v>
      </c>
      <c r="V142" s="18">
        <v>2</v>
      </c>
      <c r="W142" s="18">
        <v>2</v>
      </c>
      <c r="X142" s="18">
        <v>2</v>
      </c>
      <c r="Y142" s="18">
        <v>2</v>
      </c>
      <c r="Z142" s="18">
        <v>2</v>
      </c>
      <c r="AA142" s="18">
        <v>2</v>
      </c>
      <c r="AB142" s="18">
        <v>2</v>
      </c>
      <c r="AC142" s="18">
        <v>2</v>
      </c>
      <c r="AD142" s="19">
        <v>0</v>
      </c>
      <c r="AE142" s="18">
        <v>0</v>
      </c>
    </row>
    <row r="143" spans="1:31" x14ac:dyDescent="0.25">
      <c r="A143" s="45"/>
      <c r="B143" s="45"/>
      <c r="C143" s="46" t="s">
        <v>150</v>
      </c>
      <c r="D143" s="48"/>
      <c r="E143" s="59" t="s">
        <v>69</v>
      </c>
      <c r="F143" s="60"/>
      <c r="G143" s="18">
        <v>2</v>
      </c>
      <c r="H143" s="18">
        <v>2</v>
      </c>
      <c r="I143" s="18">
        <v>2</v>
      </c>
      <c r="J143" s="18">
        <v>2</v>
      </c>
      <c r="K143" s="18">
        <v>2</v>
      </c>
      <c r="L143" s="18">
        <v>2</v>
      </c>
      <c r="M143" s="18">
        <v>2</v>
      </c>
      <c r="N143" s="18">
        <v>2</v>
      </c>
      <c r="O143" s="18">
        <v>2</v>
      </c>
      <c r="P143" s="18">
        <v>2</v>
      </c>
      <c r="Q143" s="18">
        <v>2</v>
      </c>
      <c r="R143" s="18">
        <v>2</v>
      </c>
      <c r="S143" s="18">
        <v>2</v>
      </c>
      <c r="T143" s="18">
        <v>2</v>
      </c>
      <c r="U143" s="18">
        <v>2</v>
      </c>
      <c r="V143" s="18">
        <v>2</v>
      </c>
      <c r="W143" s="18">
        <v>2</v>
      </c>
      <c r="X143" s="18">
        <v>2</v>
      </c>
      <c r="Y143" s="18">
        <v>2</v>
      </c>
      <c r="Z143" s="18">
        <v>2</v>
      </c>
      <c r="AA143" s="18">
        <v>2</v>
      </c>
      <c r="AB143" s="18">
        <v>2</v>
      </c>
      <c r="AC143" s="18">
        <v>2</v>
      </c>
      <c r="AD143" s="19">
        <v>0</v>
      </c>
      <c r="AE143" s="18">
        <v>0</v>
      </c>
    </row>
    <row r="144" spans="1:31" x14ac:dyDescent="0.25">
      <c r="A144" s="45"/>
      <c r="B144" s="45"/>
      <c r="C144" s="46" t="s">
        <v>151</v>
      </c>
      <c r="D144" s="48"/>
      <c r="E144" s="42" t="s">
        <v>54</v>
      </c>
      <c r="F144" s="42"/>
      <c r="G144" s="18">
        <v>2</v>
      </c>
      <c r="H144" s="18">
        <v>2</v>
      </c>
      <c r="I144" s="18">
        <v>2</v>
      </c>
      <c r="J144" s="18">
        <v>2</v>
      </c>
      <c r="K144" s="18">
        <v>2</v>
      </c>
      <c r="L144" s="18">
        <v>2</v>
      </c>
      <c r="M144" s="18">
        <v>2</v>
      </c>
      <c r="N144" s="18">
        <v>2</v>
      </c>
      <c r="O144" s="18">
        <v>2</v>
      </c>
      <c r="P144" s="18">
        <v>2</v>
      </c>
      <c r="Q144" s="18">
        <v>2</v>
      </c>
      <c r="R144" s="18">
        <v>2</v>
      </c>
      <c r="S144" s="18">
        <v>2</v>
      </c>
      <c r="T144" s="18">
        <v>2</v>
      </c>
      <c r="U144" s="18">
        <v>2</v>
      </c>
      <c r="V144" s="18">
        <v>2</v>
      </c>
      <c r="W144" s="18">
        <v>2</v>
      </c>
      <c r="X144" s="18">
        <v>2</v>
      </c>
      <c r="Y144" s="18">
        <v>2</v>
      </c>
      <c r="Z144" s="18">
        <v>2</v>
      </c>
      <c r="AA144" s="18">
        <v>2</v>
      </c>
      <c r="AB144" s="18">
        <v>2</v>
      </c>
      <c r="AC144" s="18">
        <v>2</v>
      </c>
      <c r="AD144" s="19">
        <v>0</v>
      </c>
      <c r="AE144" s="18">
        <v>0</v>
      </c>
    </row>
    <row r="145" spans="1:31" x14ac:dyDescent="0.25">
      <c r="A145" s="45"/>
      <c r="B145" s="45"/>
      <c r="C145" s="46" t="s">
        <v>152</v>
      </c>
      <c r="D145" s="48"/>
      <c r="E145" s="42" t="s">
        <v>47</v>
      </c>
      <c r="F145" s="42"/>
      <c r="G145" s="18">
        <v>2</v>
      </c>
      <c r="H145" s="18">
        <v>2</v>
      </c>
      <c r="I145" s="18">
        <v>2</v>
      </c>
      <c r="J145" s="18">
        <v>2</v>
      </c>
      <c r="K145" s="18">
        <v>2</v>
      </c>
      <c r="L145" s="18">
        <v>2</v>
      </c>
      <c r="M145" s="18">
        <v>2</v>
      </c>
      <c r="N145" s="18">
        <v>2</v>
      </c>
      <c r="O145" s="18">
        <v>2</v>
      </c>
      <c r="P145" s="18">
        <v>2</v>
      </c>
      <c r="Q145" s="18">
        <v>2</v>
      </c>
      <c r="R145" s="18">
        <v>2</v>
      </c>
      <c r="S145" s="18">
        <v>2</v>
      </c>
      <c r="T145" s="18">
        <v>2</v>
      </c>
      <c r="U145" s="18">
        <v>2</v>
      </c>
      <c r="V145" s="18">
        <v>2</v>
      </c>
      <c r="W145" s="18">
        <v>2</v>
      </c>
      <c r="X145" s="18">
        <v>2</v>
      </c>
      <c r="Y145" s="18">
        <v>2</v>
      </c>
      <c r="Z145" s="18">
        <v>2</v>
      </c>
      <c r="AA145" s="18">
        <v>2</v>
      </c>
      <c r="AB145" s="18">
        <v>2</v>
      </c>
      <c r="AC145" s="18">
        <v>2</v>
      </c>
      <c r="AD145" s="19">
        <v>0</v>
      </c>
      <c r="AE145" s="18">
        <v>0</v>
      </c>
    </row>
    <row r="146" spans="1:31" x14ac:dyDescent="0.25">
      <c r="A146" s="45"/>
      <c r="B146" s="45" t="s">
        <v>28</v>
      </c>
      <c r="C146" s="41" t="s">
        <v>26</v>
      </c>
      <c r="D146" s="41"/>
      <c r="E146" s="42" t="s">
        <v>36</v>
      </c>
      <c r="F146" s="42"/>
      <c r="G146" s="18">
        <v>5</v>
      </c>
      <c r="H146" s="18">
        <v>5</v>
      </c>
      <c r="I146" s="18">
        <v>5</v>
      </c>
      <c r="J146" s="18">
        <v>5</v>
      </c>
      <c r="K146" s="18">
        <v>5</v>
      </c>
      <c r="L146" s="18">
        <v>5</v>
      </c>
      <c r="M146" s="18">
        <v>5</v>
      </c>
      <c r="N146" s="18">
        <v>5</v>
      </c>
      <c r="O146" s="18">
        <v>5</v>
      </c>
      <c r="P146" s="18">
        <v>5</v>
      </c>
      <c r="Q146" s="18">
        <v>5</v>
      </c>
      <c r="R146" s="18">
        <v>5</v>
      </c>
      <c r="S146" s="18">
        <v>5</v>
      </c>
      <c r="T146" s="18">
        <v>5</v>
      </c>
      <c r="U146" s="18">
        <v>5</v>
      </c>
      <c r="V146" s="18">
        <v>5</v>
      </c>
      <c r="W146" s="18">
        <v>5</v>
      </c>
      <c r="X146" s="18">
        <v>5</v>
      </c>
      <c r="Y146" s="18">
        <v>5</v>
      </c>
      <c r="Z146" s="18">
        <v>5</v>
      </c>
      <c r="AA146" s="18">
        <v>5</v>
      </c>
      <c r="AB146" s="18">
        <v>5</v>
      </c>
      <c r="AC146" s="18">
        <v>5</v>
      </c>
      <c r="AD146" s="18">
        <v>5</v>
      </c>
      <c r="AE146" s="19">
        <v>0</v>
      </c>
    </row>
    <row r="147" spans="1:31" x14ac:dyDescent="0.25">
      <c r="A147" s="45"/>
      <c r="B147" s="45"/>
      <c r="C147" s="41" t="s">
        <v>27</v>
      </c>
      <c r="D147" s="41"/>
      <c r="E147" s="42" t="s">
        <v>36</v>
      </c>
      <c r="F147" s="42"/>
      <c r="G147" s="18">
        <v>5</v>
      </c>
      <c r="H147" s="18">
        <v>5</v>
      </c>
      <c r="I147" s="18">
        <v>5</v>
      </c>
      <c r="J147" s="18">
        <v>5</v>
      </c>
      <c r="K147" s="18">
        <v>5</v>
      </c>
      <c r="L147" s="18">
        <v>5</v>
      </c>
      <c r="M147" s="18">
        <v>5</v>
      </c>
      <c r="N147" s="18">
        <v>5</v>
      </c>
      <c r="O147" s="18">
        <v>5</v>
      </c>
      <c r="P147" s="18">
        <v>5</v>
      </c>
      <c r="Q147" s="18">
        <v>5</v>
      </c>
      <c r="R147" s="18">
        <v>5</v>
      </c>
      <c r="S147" s="18">
        <v>5</v>
      </c>
      <c r="T147" s="18">
        <v>5</v>
      </c>
      <c r="U147" s="18">
        <v>5</v>
      </c>
      <c r="V147" s="18">
        <v>5</v>
      </c>
      <c r="W147" s="18">
        <v>5</v>
      </c>
      <c r="X147" s="18">
        <v>5</v>
      </c>
      <c r="Y147" s="18">
        <v>5</v>
      </c>
      <c r="Z147" s="18">
        <v>5</v>
      </c>
      <c r="AA147" s="18">
        <v>5</v>
      </c>
      <c r="AB147" s="18">
        <v>5</v>
      </c>
      <c r="AC147" s="18">
        <v>5</v>
      </c>
      <c r="AD147" s="18">
        <v>5</v>
      </c>
      <c r="AE147" s="19">
        <v>0</v>
      </c>
    </row>
    <row r="148" spans="1:31" x14ac:dyDescent="0.25">
      <c r="A148" s="45"/>
      <c r="B148" s="50" t="s">
        <v>12</v>
      </c>
      <c r="C148" s="51"/>
      <c r="D148" s="52"/>
      <c r="E148" s="58" t="s">
        <v>11</v>
      </c>
      <c r="F148" s="58"/>
      <c r="G148" s="58">
        <f>SUM(G16:G147)</f>
        <v>331</v>
      </c>
      <c r="H148" s="58"/>
      <c r="I148" s="18">
        <f>SUM(I16:I147)</f>
        <v>267</v>
      </c>
      <c r="J148" s="18">
        <f>SUM(J16:J147)-J18</f>
        <v>262</v>
      </c>
      <c r="K148" s="18">
        <f>SUM(K16:K147)</f>
        <v>257</v>
      </c>
      <c r="L148" s="18">
        <f>SUM(L16:L147)-L22-L26+L24+L28</f>
        <v>253</v>
      </c>
      <c r="M148" s="18">
        <f>SUM(M16:M147)</f>
        <v>238</v>
      </c>
      <c r="N148" s="18">
        <f>SUM(N16:N147)+N36</f>
        <v>232</v>
      </c>
      <c r="O148" s="18">
        <f>SUM(O16:O147)</f>
        <v>220</v>
      </c>
      <c r="P148" s="18">
        <f>SUM(P16:P147)+P47+P51+P53+P57</f>
        <v>216</v>
      </c>
      <c r="Q148" s="18">
        <f>SUM(Q16:Q147)-Q59</f>
        <v>182</v>
      </c>
      <c r="R148" s="18">
        <f>SUM(R16:R147)-R61-R63</f>
        <v>168</v>
      </c>
      <c r="S148" s="18">
        <f>SUM(S16:S147)-S66</f>
        <v>157</v>
      </c>
      <c r="T148" s="18">
        <f>SUM(T16:T147)</f>
        <v>151</v>
      </c>
      <c r="U148" s="18">
        <f>SUM(U16:U147)+U73+U75</f>
        <v>154</v>
      </c>
      <c r="V148" s="18">
        <f>SUM(V16:V147)+V79</f>
        <v>136</v>
      </c>
      <c r="W148" s="18">
        <f>SUM(W16:W147)+W82+W85</f>
        <v>125</v>
      </c>
      <c r="X148" s="18">
        <f>SUM(X16:X147)+X88+X90+X93+X95</f>
        <v>148</v>
      </c>
      <c r="Y148" s="18">
        <f>SUM(Y16:Y147)+Y101+Y97</f>
        <v>128</v>
      </c>
      <c r="Z148" s="18">
        <f>SUM(Z16:Z147)+Z103</f>
        <v>102</v>
      </c>
      <c r="AA148" s="18">
        <f>SUM(AA16:AA147)</f>
        <v>66</v>
      </c>
      <c r="AB148" s="18">
        <f>SUM(AB16:AB147)</f>
        <v>52</v>
      </c>
      <c r="AC148" s="18">
        <f>SUM(AC16:AC147)</f>
        <v>38</v>
      </c>
      <c r="AD148" s="18">
        <f>SUM(AD16:AD147)</f>
        <v>10</v>
      </c>
      <c r="AE148" s="18">
        <f>SUM(AE16:AE147)</f>
        <v>0</v>
      </c>
    </row>
    <row r="149" spans="1:31" x14ac:dyDescent="0.25">
      <c r="A149" s="45"/>
      <c r="B149" s="53"/>
      <c r="C149" s="54"/>
      <c r="D149" s="55"/>
      <c r="E149" s="58" t="s">
        <v>37</v>
      </c>
      <c r="F149" s="58"/>
      <c r="G149" s="58">
        <f>SUM(H16:H147)</f>
        <v>276</v>
      </c>
      <c r="H149" s="58"/>
      <c r="I149" s="18">
        <v>267</v>
      </c>
      <c r="J149" s="18">
        <v>262</v>
      </c>
      <c r="K149" s="18">
        <v>258</v>
      </c>
      <c r="L149" s="18">
        <v>248</v>
      </c>
      <c r="M149" s="18">
        <v>238</v>
      </c>
      <c r="N149" s="18">
        <v>230</v>
      </c>
      <c r="O149" s="18">
        <v>220</v>
      </c>
      <c r="P149" s="18">
        <v>192</v>
      </c>
      <c r="Q149" s="18">
        <v>182</v>
      </c>
      <c r="R149" s="18">
        <v>159</v>
      </c>
      <c r="S149" s="18">
        <v>153</v>
      </c>
      <c r="T149" s="18">
        <v>150</v>
      </c>
      <c r="U149" s="18">
        <v>146</v>
      </c>
      <c r="V149" s="18">
        <v>137</v>
      </c>
      <c r="W149" s="18">
        <v>128</v>
      </c>
      <c r="X149" s="18">
        <v>110</v>
      </c>
      <c r="Y149" s="18">
        <v>98</v>
      </c>
      <c r="Z149" s="18">
        <v>94</v>
      </c>
      <c r="AA149" s="18">
        <v>66</v>
      </c>
      <c r="AB149" s="18">
        <v>52</v>
      </c>
      <c r="AC149" s="18">
        <v>38</v>
      </c>
      <c r="AD149" s="18">
        <v>10</v>
      </c>
      <c r="AE149" s="18">
        <v>0</v>
      </c>
    </row>
  </sheetData>
  <mergeCells count="285">
    <mergeCell ref="C69:D69"/>
    <mergeCell ref="C91:D91"/>
    <mergeCell ref="C92:D92"/>
    <mergeCell ref="C99:D99"/>
    <mergeCell ref="C100:D100"/>
    <mergeCell ref="E99:F99"/>
    <mergeCell ref="E100:F100"/>
    <mergeCell ref="C77:D77"/>
    <mergeCell ref="C78:D78"/>
    <mergeCell ref="E77:F77"/>
    <mergeCell ref="E70:F70"/>
    <mergeCell ref="E76:F76"/>
    <mergeCell ref="E89:F89"/>
    <mergeCell ref="E91:F91"/>
    <mergeCell ref="E92:F92"/>
    <mergeCell ref="C70:D70"/>
    <mergeCell ref="E94:F94"/>
    <mergeCell ref="C80:D80"/>
    <mergeCell ref="C81:D81"/>
    <mergeCell ref="C83:D83"/>
    <mergeCell ref="C84:D84"/>
    <mergeCell ref="C86:D86"/>
    <mergeCell ref="C87:D87"/>
    <mergeCell ref="E80:F80"/>
    <mergeCell ref="E144:F144"/>
    <mergeCell ref="E131:F131"/>
    <mergeCell ref="E117:F117"/>
    <mergeCell ref="E118:F118"/>
    <mergeCell ref="E106:F106"/>
    <mergeCell ref="E107:F107"/>
    <mergeCell ref="E108:F108"/>
    <mergeCell ref="C116:D116"/>
    <mergeCell ref="E116:F116"/>
    <mergeCell ref="E109:F109"/>
    <mergeCell ref="C122:D122"/>
    <mergeCell ref="C123:D123"/>
    <mergeCell ref="E122:F122"/>
    <mergeCell ref="E123:F123"/>
    <mergeCell ref="E126:F126"/>
    <mergeCell ref="E127:F127"/>
    <mergeCell ref="E128:F128"/>
    <mergeCell ref="E129:F129"/>
    <mergeCell ref="G149:H149"/>
    <mergeCell ref="B60:B103"/>
    <mergeCell ref="C146:D146"/>
    <mergeCell ref="C136:D136"/>
    <mergeCell ref="C135:D135"/>
    <mergeCell ref="C134:D134"/>
    <mergeCell ref="C133:D133"/>
    <mergeCell ref="C132:D132"/>
    <mergeCell ref="C131:D131"/>
    <mergeCell ref="C71:D71"/>
    <mergeCell ref="C72:D72"/>
    <mergeCell ref="C74:D74"/>
    <mergeCell ref="C64:D64"/>
    <mergeCell ref="C67:D67"/>
    <mergeCell ref="C65:D65"/>
    <mergeCell ref="C68:D68"/>
    <mergeCell ref="C102:D102"/>
    <mergeCell ref="C104:D104"/>
    <mergeCell ref="C76:D76"/>
    <mergeCell ref="C89:D89"/>
    <mergeCell ref="C103:D103"/>
    <mergeCell ref="E71:F71"/>
    <mergeCell ref="E72:F72"/>
    <mergeCell ref="E137:F137"/>
    <mergeCell ref="B40:B59"/>
    <mergeCell ref="C24:D24"/>
    <mergeCell ref="E24:F24"/>
    <mergeCell ref="A1:B1"/>
    <mergeCell ref="A2:B2"/>
    <mergeCell ref="A3:B3"/>
    <mergeCell ref="A4:B4"/>
    <mergeCell ref="C20:D20"/>
    <mergeCell ref="G148:H148"/>
    <mergeCell ref="B118:B131"/>
    <mergeCell ref="B6:E6"/>
    <mergeCell ref="B13:C13"/>
    <mergeCell ref="C15:D15"/>
    <mergeCell ref="E15:F15"/>
    <mergeCell ref="B16:D16"/>
    <mergeCell ref="B17:D17"/>
    <mergeCell ref="C21:D21"/>
    <mergeCell ref="C23:D23"/>
    <mergeCell ref="C25:D25"/>
    <mergeCell ref="C27:D27"/>
    <mergeCell ref="C29:D29"/>
    <mergeCell ref="C39:D39"/>
    <mergeCell ref="C40:D40"/>
    <mergeCell ref="C59:D59"/>
    <mergeCell ref="E81:F81"/>
    <mergeCell ref="E83:F83"/>
    <mergeCell ref="E84:F84"/>
    <mergeCell ref="E86:F86"/>
    <mergeCell ref="E87:F87"/>
    <mergeCell ref="E75:F75"/>
    <mergeCell ref="C75:D75"/>
    <mergeCell ref="C73:D73"/>
    <mergeCell ref="C79:D79"/>
    <mergeCell ref="E79:F79"/>
    <mergeCell ref="C82:D82"/>
    <mergeCell ref="E78:F78"/>
    <mergeCell ref="E74:F74"/>
    <mergeCell ref="E69:F69"/>
    <mergeCell ref="E16:F16"/>
    <mergeCell ref="E17:F17"/>
    <mergeCell ref="E19:F19"/>
    <mergeCell ref="E20:F20"/>
    <mergeCell ref="E21:F21"/>
    <mergeCell ref="E23:F23"/>
    <mergeCell ref="E25:F25"/>
    <mergeCell ref="E27:F27"/>
    <mergeCell ref="E58:F58"/>
    <mergeCell ref="E38:F38"/>
    <mergeCell ref="E30:F30"/>
    <mergeCell ref="E46:F46"/>
    <mergeCell ref="E56:F56"/>
    <mergeCell ref="E29:F29"/>
    <mergeCell ref="E39:F39"/>
    <mergeCell ref="E40:F40"/>
    <mergeCell ref="E59:F59"/>
    <mergeCell ref="E41:F41"/>
    <mergeCell ref="E68:F68"/>
    <mergeCell ref="E43:F43"/>
    <mergeCell ref="E44:F44"/>
    <mergeCell ref="E45:F45"/>
    <mergeCell ref="E57:F57"/>
    <mergeCell ref="A16:A149"/>
    <mergeCell ref="E145:F145"/>
    <mergeCell ref="E146:F146"/>
    <mergeCell ref="E147:F147"/>
    <mergeCell ref="E148:F148"/>
    <mergeCell ref="E149:F149"/>
    <mergeCell ref="E132:F132"/>
    <mergeCell ref="E133:F133"/>
    <mergeCell ref="E134:F134"/>
    <mergeCell ref="E135:F135"/>
    <mergeCell ref="E136:F136"/>
    <mergeCell ref="E119:F119"/>
    <mergeCell ref="E120:F120"/>
    <mergeCell ref="E121:F121"/>
    <mergeCell ref="E60:F60"/>
    <mergeCell ref="E62:F62"/>
    <mergeCell ref="E64:F64"/>
    <mergeCell ref="E65:F65"/>
    <mergeCell ref="E67:F67"/>
    <mergeCell ref="E104:F104"/>
    <mergeCell ref="E103:F103"/>
    <mergeCell ref="E102:F102"/>
    <mergeCell ref="B148:D149"/>
    <mergeCell ref="E130:F130"/>
    <mergeCell ref="B132:B145"/>
    <mergeCell ref="B146:B147"/>
    <mergeCell ref="C105:D105"/>
    <mergeCell ref="C106:D106"/>
    <mergeCell ref="C107:D107"/>
    <mergeCell ref="C130:D130"/>
    <mergeCell ref="C121:D121"/>
    <mergeCell ref="C120:D120"/>
    <mergeCell ref="C108:D108"/>
    <mergeCell ref="C117:D117"/>
    <mergeCell ref="C118:D118"/>
    <mergeCell ref="C119:D119"/>
    <mergeCell ref="C147:D147"/>
    <mergeCell ref="C145:D145"/>
    <mergeCell ref="C137:D137"/>
    <mergeCell ref="C144:D144"/>
    <mergeCell ref="B104:B117"/>
    <mergeCell ref="C109:D109"/>
    <mergeCell ref="C115:D115"/>
    <mergeCell ref="C98:D98"/>
    <mergeCell ref="E96:F96"/>
    <mergeCell ref="E98:F98"/>
    <mergeCell ref="C110:D110"/>
    <mergeCell ref="C111:D111"/>
    <mergeCell ref="C112:D112"/>
    <mergeCell ref="C113:D113"/>
    <mergeCell ref="C114:D114"/>
    <mergeCell ref="E110:F110"/>
    <mergeCell ref="E111:F111"/>
    <mergeCell ref="E112:F112"/>
    <mergeCell ref="E113:F113"/>
    <mergeCell ref="E114:F114"/>
    <mergeCell ref="E105:F105"/>
    <mergeCell ref="C101:D101"/>
    <mergeCell ref="E101:F101"/>
    <mergeCell ref="C66:D66"/>
    <mergeCell ref="E66:F66"/>
    <mergeCell ref="E73:F73"/>
    <mergeCell ref="E138:F138"/>
    <mergeCell ref="E139:F139"/>
    <mergeCell ref="E140:F140"/>
    <mergeCell ref="E141:F141"/>
    <mergeCell ref="E142:F142"/>
    <mergeCell ref="E143:F143"/>
    <mergeCell ref="C138:D138"/>
    <mergeCell ref="C139:D139"/>
    <mergeCell ref="C140:D140"/>
    <mergeCell ref="C141:D141"/>
    <mergeCell ref="C142:D142"/>
    <mergeCell ref="C143:D143"/>
    <mergeCell ref="E115:F115"/>
    <mergeCell ref="C124:D124"/>
    <mergeCell ref="C125:D125"/>
    <mergeCell ref="C126:D126"/>
    <mergeCell ref="C127:D127"/>
    <mergeCell ref="C128:D128"/>
    <mergeCell ref="C129:D129"/>
    <mergeCell ref="E124:F124"/>
    <mergeCell ref="E125:F125"/>
    <mergeCell ref="C61:D61"/>
    <mergeCell ref="E61:F61"/>
    <mergeCell ref="C63:D63"/>
    <mergeCell ref="E63:F63"/>
    <mergeCell ref="C47:D47"/>
    <mergeCell ref="E47:F47"/>
    <mergeCell ref="C48:D48"/>
    <mergeCell ref="C49:D49"/>
    <mergeCell ref="C50:D50"/>
    <mergeCell ref="C52:D52"/>
    <mergeCell ref="C54:D54"/>
    <mergeCell ref="C55:D55"/>
    <mergeCell ref="E48:F48"/>
    <mergeCell ref="E49:F49"/>
    <mergeCell ref="E50:F50"/>
    <mergeCell ref="E52:F52"/>
    <mergeCell ref="E54:F54"/>
    <mergeCell ref="E55:F55"/>
    <mergeCell ref="C57:D57"/>
    <mergeCell ref="C58:D58"/>
    <mergeCell ref="C60:D60"/>
    <mergeCell ref="C62:D62"/>
    <mergeCell ref="C56:D56"/>
    <mergeCell ref="C53:D53"/>
    <mergeCell ref="E53:F53"/>
    <mergeCell ref="C51:D51"/>
    <mergeCell ref="E51:F51"/>
    <mergeCell ref="C32:D32"/>
    <mergeCell ref="C33:D33"/>
    <mergeCell ref="C41:D41"/>
    <mergeCell ref="C42:D42"/>
    <mergeCell ref="C43:D43"/>
    <mergeCell ref="C44:D44"/>
    <mergeCell ref="C45:D45"/>
    <mergeCell ref="C46:D46"/>
    <mergeCell ref="E42:F42"/>
    <mergeCell ref="B18:D18"/>
    <mergeCell ref="E18:F18"/>
    <mergeCell ref="C22:D22"/>
    <mergeCell ref="E22:F22"/>
    <mergeCell ref="C26:D26"/>
    <mergeCell ref="E26:F26"/>
    <mergeCell ref="C28:D28"/>
    <mergeCell ref="E28:F28"/>
    <mergeCell ref="C36:D36"/>
    <mergeCell ref="E36:F36"/>
    <mergeCell ref="B20:B39"/>
    <mergeCell ref="C38:D38"/>
    <mergeCell ref="C30:D30"/>
    <mergeCell ref="B19:D19"/>
    <mergeCell ref="C34:D34"/>
    <mergeCell ref="C35:D35"/>
    <mergeCell ref="C37:D37"/>
    <mergeCell ref="E31:F31"/>
    <mergeCell ref="E32:F32"/>
    <mergeCell ref="E33:F33"/>
    <mergeCell ref="E34:F34"/>
    <mergeCell ref="E35:F35"/>
    <mergeCell ref="E37:F37"/>
    <mergeCell ref="C31:D31"/>
    <mergeCell ref="C95:D95"/>
    <mergeCell ref="E95:F95"/>
    <mergeCell ref="E97:F97"/>
    <mergeCell ref="C97:D97"/>
    <mergeCell ref="C94:D94"/>
    <mergeCell ref="E82:F82"/>
    <mergeCell ref="C85:D85"/>
    <mergeCell ref="E85:F85"/>
    <mergeCell ref="C88:D88"/>
    <mergeCell ref="E88:F88"/>
    <mergeCell ref="C96:D96"/>
    <mergeCell ref="E93:F93"/>
    <mergeCell ref="C93:D93"/>
    <mergeCell ref="E90:F90"/>
    <mergeCell ref="C90:D90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70"/>
  <sheetViews>
    <sheetView tabSelected="1" topLeftCell="C64" zoomScale="85" zoomScaleNormal="85" workbookViewId="0">
      <selection activeCell="P73" sqref="P73"/>
    </sheetView>
  </sheetViews>
  <sheetFormatPr defaultRowHeight="15" x14ac:dyDescent="0.25"/>
  <cols>
    <col min="1" max="1" width="13.5703125" customWidth="1"/>
    <col min="2" max="2" width="21.140625" customWidth="1"/>
    <col min="3" max="3" width="55.85546875" customWidth="1"/>
    <col min="4" max="4" width="12" customWidth="1"/>
    <col min="5" max="5" width="10.28515625" customWidth="1"/>
    <col min="6" max="6" width="20.140625" customWidth="1"/>
    <col min="7" max="7" width="6.140625" customWidth="1"/>
    <col min="8" max="8" width="4.28515625" bestFit="1" customWidth="1"/>
    <col min="9" max="19" width="6" customWidth="1"/>
    <col min="20" max="20" width="6.140625" customWidth="1"/>
    <col min="21" max="28" width="6" customWidth="1"/>
    <col min="29" max="29" width="6.140625" customWidth="1"/>
    <col min="30" max="37" width="5.7109375" bestFit="1" customWidth="1"/>
  </cols>
  <sheetData>
    <row r="1" spans="1:37" ht="60.75" thickBot="1" x14ac:dyDescent="0.3">
      <c r="A1" s="37" t="s">
        <v>3</v>
      </c>
      <c r="B1" s="37"/>
      <c r="C1" s="31" t="s">
        <v>48</v>
      </c>
      <c r="D1" s="1"/>
      <c r="E1" s="7"/>
      <c r="F1" s="8" t="s">
        <v>45</v>
      </c>
    </row>
    <row r="2" spans="1:37" ht="17.25" thickBot="1" x14ac:dyDescent="0.3">
      <c r="A2" s="37" t="s">
        <v>2</v>
      </c>
      <c r="B2" s="37"/>
      <c r="C2" s="2" t="s">
        <v>29</v>
      </c>
      <c r="D2" s="1"/>
      <c r="E2" s="9"/>
      <c r="F2" s="10" t="s">
        <v>44</v>
      </c>
    </row>
    <row r="3" spans="1:37" ht="17.25" thickBot="1" x14ac:dyDescent="0.3">
      <c r="A3" s="37" t="s">
        <v>1</v>
      </c>
      <c r="B3" s="37"/>
      <c r="C3" s="32">
        <v>46129</v>
      </c>
      <c r="D3" s="1"/>
      <c r="E3" s="11"/>
      <c r="F3" s="10" t="s">
        <v>43</v>
      </c>
    </row>
    <row r="4" spans="1:37" ht="18" customHeight="1" thickBot="1" x14ac:dyDescent="0.3">
      <c r="A4" s="37" t="s">
        <v>0</v>
      </c>
      <c r="B4" s="37"/>
      <c r="C4" s="32">
        <v>46157</v>
      </c>
      <c r="D4" s="1"/>
      <c r="E4" s="12"/>
      <c r="F4" s="10" t="s">
        <v>42</v>
      </c>
    </row>
    <row r="5" spans="1:37" ht="18" customHeight="1" thickBot="1" x14ac:dyDescent="0.3">
      <c r="A5" s="1"/>
      <c r="B5" s="1"/>
      <c r="C5" s="1"/>
      <c r="D5" s="1"/>
      <c r="E5" s="13"/>
      <c r="F5" s="14" t="s">
        <v>41</v>
      </c>
    </row>
    <row r="6" spans="1:37" ht="17.25" thickBot="1" x14ac:dyDescent="0.3">
      <c r="A6" s="1"/>
      <c r="B6" s="38" t="s">
        <v>30</v>
      </c>
      <c r="C6" s="38"/>
      <c r="D6" s="38"/>
      <c r="E6" s="39"/>
    </row>
    <row r="7" spans="1:37" ht="17.25" thickBot="1" x14ac:dyDescent="0.3">
      <c r="A7" s="1"/>
      <c r="B7" s="4" t="s">
        <v>6</v>
      </c>
      <c r="C7" s="4" t="s">
        <v>38</v>
      </c>
      <c r="D7" s="4" t="s">
        <v>11</v>
      </c>
      <c r="E7" s="4" t="s">
        <v>37</v>
      </c>
    </row>
    <row r="8" spans="1:37" ht="17.25" thickBot="1" x14ac:dyDescent="0.3">
      <c r="A8" s="1"/>
      <c r="B8" s="5">
        <v>1</v>
      </c>
      <c r="C8" s="2" t="s">
        <v>49</v>
      </c>
      <c r="D8" s="2">
        <f ca="1">SUMIF($E$16:$F$68,"Huy",$G$16:$G$68)++SUMIF($E$16:$F$68,"All team",$G$16:$G$68)/5</f>
        <v>30.8</v>
      </c>
      <c r="E8" s="2">
        <f ca="1">SUMIF($E$16:$F$68,"Huy",$H$16:$H$68)++SUMIF($E$16:$F$68,"All team",$H$16:$H$68)/5</f>
        <v>32</v>
      </c>
    </row>
    <row r="9" spans="1:37" ht="17.25" thickBot="1" x14ac:dyDescent="0.3">
      <c r="A9" s="1"/>
      <c r="B9" s="5">
        <v>2</v>
      </c>
      <c r="C9" s="2" t="s">
        <v>50</v>
      </c>
      <c r="D9" s="2">
        <f ca="1">SUMIF($E$16:$F$68,"Quốc",$G$16:$G$68)++SUMIF($E$16:$F$68,"All team",$G$16:$G$68)/5</f>
        <v>33.799999999999997</v>
      </c>
      <c r="E9" s="2">
        <f ca="1">SUMIF($E$16:$F$68,"Quốc",$H$16:$H$68)++SUMIF($E$16:$F$68,"All team",$H$16:$H$68)/5</f>
        <v>36</v>
      </c>
    </row>
    <row r="10" spans="1:37" ht="17.25" thickBot="1" x14ac:dyDescent="0.3">
      <c r="A10" s="1"/>
      <c r="B10" s="5">
        <v>3</v>
      </c>
      <c r="C10" s="2" t="s">
        <v>51</v>
      </c>
      <c r="D10" s="2">
        <f ca="1">SUMIF($E$16:$F$68,"Thịnh",$G$16:$G$68)++SUMIF($E$16:$F$68,"All team",$G$16:$G$68)/5</f>
        <v>47.8</v>
      </c>
      <c r="E10" s="2">
        <f ca="1">SUMIF($E$16:$F$68,"Thịnh",$H$16:$H$68)++SUMIF($E$16:$F$68,"All team",$H$16:$H$68)/5</f>
        <v>37</v>
      </c>
    </row>
    <row r="11" spans="1:37" ht="17.25" thickBot="1" x14ac:dyDescent="0.3">
      <c r="A11" s="1"/>
      <c r="B11" s="5">
        <v>4</v>
      </c>
      <c r="C11" s="2" t="s">
        <v>52</v>
      </c>
      <c r="D11" s="2">
        <f ca="1">SUMIF($E$16:$F$68,"Hoàng",$G$16:$G$68)++SUMIF($E$16:$F$68,"All team",$G$16:$G$68)/5</f>
        <v>30.8</v>
      </c>
      <c r="E11" s="2">
        <f ca="1">SUMIF($E$16:$F$68,"Hoàng",$H$16:$H$68)++SUMIF($E$16:$F$68,"All team",$H$16:$H$68)/5</f>
        <v>32</v>
      </c>
    </row>
    <row r="12" spans="1:37" ht="17.25" thickBot="1" x14ac:dyDescent="0.3">
      <c r="A12" s="1"/>
      <c r="B12" s="5">
        <v>5</v>
      </c>
      <c r="C12" s="2" t="s">
        <v>53</v>
      </c>
      <c r="D12" s="2">
        <f ca="1">SUMIF($E$16:$F$68,"Mai",$G$16:$G$68)++SUMIF($E$16:$F$68,"All team",$G$16:$G$68)/5</f>
        <v>30.8</v>
      </c>
      <c r="E12" s="2">
        <f ca="1">SUMIF($E$16:$F$68,"Mai",$H$16:$H$68)++SUMIF($E$16:$F$68,"All team",$H$16:$H$68)/5</f>
        <v>32</v>
      </c>
    </row>
    <row r="13" spans="1:37" ht="17.25" thickBot="1" x14ac:dyDescent="0.3">
      <c r="A13" s="1"/>
      <c r="B13" s="36" t="s">
        <v>12</v>
      </c>
      <c r="C13" s="36"/>
      <c r="D13" s="3">
        <f ca="1">SUM(D8:D12)</f>
        <v>174</v>
      </c>
      <c r="E13" s="3">
        <f ca="1">SUM(E8:E12)</f>
        <v>169</v>
      </c>
    </row>
    <row r="15" spans="1:37" ht="63.75" customHeight="1" x14ac:dyDescent="0.25">
      <c r="A15" s="15" t="s">
        <v>7</v>
      </c>
      <c r="B15" s="15" t="s">
        <v>8</v>
      </c>
      <c r="C15" s="49" t="s">
        <v>9</v>
      </c>
      <c r="D15" s="49"/>
      <c r="E15" s="49" t="s">
        <v>10</v>
      </c>
      <c r="F15" s="49"/>
      <c r="G15" s="16" t="s">
        <v>11</v>
      </c>
      <c r="H15" s="16" t="s">
        <v>37</v>
      </c>
      <c r="I15" s="17">
        <v>46129</v>
      </c>
      <c r="J15" s="17">
        <v>46130</v>
      </c>
      <c r="K15" s="17">
        <v>46131</v>
      </c>
      <c r="L15" s="17">
        <v>46132</v>
      </c>
      <c r="M15" s="17">
        <v>46133</v>
      </c>
      <c r="N15" s="17">
        <v>46134</v>
      </c>
      <c r="O15" s="17">
        <v>46135</v>
      </c>
      <c r="P15" s="17">
        <v>46136</v>
      </c>
      <c r="Q15" s="17">
        <v>46137</v>
      </c>
      <c r="R15" s="17">
        <v>46138</v>
      </c>
      <c r="S15" s="17">
        <v>46139</v>
      </c>
      <c r="T15" s="17">
        <v>46140</v>
      </c>
      <c r="U15" s="17">
        <v>46141</v>
      </c>
      <c r="V15" s="17">
        <v>46142</v>
      </c>
      <c r="W15" s="17">
        <v>46143</v>
      </c>
      <c r="X15" s="17">
        <v>46144</v>
      </c>
      <c r="Y15" s="17">
        <v>46145</v>
      </c>
      <c r="Z15" s="17">
        <v>46146</v>
      </c>
      <c r="AA15" s="17">
        <v>46147</v>
      </c>
      <c r="AB15" s="17">
        <v>46148</v>
      </c>
      <c r="AC15" s="17">
        <v>46149</v>
      </c>
      <c r="AD15" s="17">
        <v>46150</v>
      </c>
      <c r="AE15" s="17">
        <v>46151</v>
      </c>
      <c r="AF15" s="17">
        <v>46152</v>
      </c>
      <c r="AG15" s="17">
        <v>46153</v>
      </c>
      <c r="AH15" s="17">
        <v>46154</v>
      </c>
      <c r="AI15" s="17">
        <v>46155</v>
      </c>
      <c r="AJ15" s="17">
        <v>46156</v>
      </c>
      <c r="AK15" s="17">
        <v>46157</v>
      </c>
    </row>
    <row r="16" spans="1:37" ht="16.5" x14ac:dyDescent="0.25">
      <c r="A16" s="45" t="s">
        <v>4</v>
      </c>
      <c r="B16" s="41" t="s">
        <v>13</v>
      </c>
      <c r="C16" s="41"/>
      <c r="D16" s="41"/>
      <c r="E16" s="40" t="s">
        <v>36</v>
      </c>
      <c r="F16" s="40"/>
      <c r="G16" s="18">
        <f>H16-I16</f>
        <v>10</v>
      </c>
      <c r="H16" s="18">
        <v>10</v>
      </c>
      <c r="I16" s="19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</row>
    <row r="17" spans="1:37" ht="16.5" x14ac:dyDescent="0.25">
      <c r="A17" s="45"/>
      <c r="B17" s="41" t="s">
        <v>35</v>
      </c>
      <c r="C17" s="41"/>
      <c r="D17" s="41"/>
      <c r="E17" s="40" t="s">
        <v>54</v>
      </c>
      <c r="F17" s="40"/>
      <c r="G17" s="18">
        <v>4</v>
      </c>
      <c r="H17" s="18">
        <v>4</v>
      </c>
      <c r="I17" s="18">
        <v>2</v>
      </c>
      <c r="J17" s="19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</row>
    <row r="18" spans="1:37" ht="16.5" x14ac:dyDescent="0.25">
      <c r="A18" s="45"/>
      <c r="B18" s="41" t="s">
        <v>15</v>
      </c>
      <c r="C18" s="41"/>
      <c r="D18" s="41"/>
      <c r="E18" s="40" t="s">
        <v>55</v>
      </c>
      <c r="F18" s="40"/>
      <c r="G18" s="18">
        <f>H18-K18</f>
        <v>4</v>
      </c>
      <c r="H18" s="18">
        <v>4</v>
      </c>
      <c r="I18" s="18">
        <v>3</v>
      </c>
      <c r="J18" s="18">
        <v>2</v>
      </c>
      <c r="K18" s="19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</row>
    <row r="19" spans="1:37" ht="16.5" x14ac:dyDescent="0.25">
      <c r="A19" s="45"/>
      <c r="B19" s="45" t="s">
        <v>17</v>
      </c>
      <c r="C19" s="41" t="s">
        <v>153</v>
      </c>
      <c r="D19" s="41"/>
      <c r="E19" s="40" t="s">
        <v>47</v>
      </c>
      <c r="F19" s="40"/>
      <c r="G19" s="18">
        <v>2</v>
      </c>
      <c r="H19" s="18">
        <v>2</v>
      </c>
      <c r="I19" s="18">
        <v>2</v>
      </c>
      <c r="J19" s="18">
        <v>2</v>
      </c>
      <c r="K19" s="18">
        <v>2</v>
      </c>
      <c r="L19" s="19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</row>
    <row r="20" spans="1:37" ht="17.25" customHeight="1" x14ac:dyDescent="0.25">
      <c r="A20" s="45"/>
      <c r="B20" s="45"/>
      <c r="C20" s="41" t="s">
        <v>154</v>
      </c>
      <c r="D20" s="41"/>
      <c r="E20" s="40" t="s">
        <v>69</v>
      </c>
      <c r="F20" s="40"/>
      <c r="G20" s="18">
        <v>2</v>
      </c>
      <c r="H20" s="18">
        <v>2</v>
      </c>
      <c r="I20" s="18">
        <v>2</v>
      </c>
      <c r="J20" s="18">
        <v>2</v>
      </c>
      <c r="K20" s="18">
        <v>2</v>
      </c>
      <c r="L20" s="19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</row>
    <row r="21" spans="1:37" ht="16.5" x14ac:dyDescent="0.25">
      <c r="A21" s="45"/>
      <c r="B21" s="45"/>
      <c r="C21" s="41" t="s">
        <v>155</v>
      </c>
      <c r="D21" s="41"/>
      <c r="E21" s="40" t="s">
        <v>54</v>
      </c>
      <c r="F21" s="40"/>
      <c r="G21" s="18">
        <v>3</v>
      </c>
      <c r="H21" s="18">
        <v>2</v>
      </c>
      <c r="I21" s="18">
        <v>2</v>
      </c>
      <c r="J21" s="18">
        <v>2</v>
      </c>
      <c r="K21" s="18">
        <v>2</v>
      </c>
      <c r="L21" s="18">
        <v>2</v>
      </c>
      <c r="M21" s="19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</row>
    <row r="22" spans="1:37" ht="16.5" x14ac:dyDescent="0.25">
      <c r="A22" s="45"/>
      <c r="B22" s="45"/>
      <c r="C22" s="43"/>
      <c r="D22" s="44"/>
      <c r="E22" s="43"/>
      <c r="F22" s="44"/>
      <c r="G22" s="18"/>
      <c r="H22" s="18"/>
      <c r="I22" s="18"/>
      <c r="J22" s="18"/>
      <c r="K22" s="18"/>
      <c r="M22" s="34">
        <v>1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6"/>
      <c r="AG22" s="6"/>
      <c r="AH22" s="6"/>
      <c r="AI22" s="6"/>
      <c r="AJ22" s="6"/>
      <c r="AK22" s="6"/>
    </row>
    <row r="23" spans="1:37" ht="16.5" x14ac:dyDescent="0.25">
      <c r="A23" s="45"/>
      <c r="B23" s="45"/>
      <c r="C23" s="41" t="s">
        <v>156</v>
      </c>
      <c r="D23" s="41"/>
      <c r="E23" s="40" t="s">
        <v>70</v>
      </c>
      <c r="F23" s="40"/>
      <c r="G23" s="18">
        <v>2</v>
      </c>
      <c r="H23" s="18">
        <v>2</v>
      </c>
      <c r="I23" s="18">
        <v>2</v>
      </c>
      <c r="J23" s="18">
        <v>2</v>
      </c>
      <c r="K23" s="18">
        <v>2</v>
      </c>
      <c r="L23" s="18">
        <v>2</v>
      </c>
      <c r="M23" s="19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</row>
    <row r="24" spans="1:37" ht="16.5" x14ac:dyDescent="0.25">
      <c r="A24" s="45"/>
      <c r="B24" s="45"/>
      <c r="C24" s="41" t="s">
        <v>157</v>
      </c>
      <c r="D24" s="41"/>
      <c r="E24" s="40" t="s">
        <v>55</v>
      </c>
      <c r="F24" s="40"/>
      <c r="G24" s="18">
        <v>3</v>
      </c>
      <c r="H24" s="18">
        <v>3</v>
      </c>
      <c r="I24" s="18">
        <v>3</v>
      </c>
      <c r="J24" s="18">
        <v>3</v>
      </c>
      <c r="K24" s="18">
        <v>3</v>
      </c>
      <c r="L24" s="18">
        <v>3</v>
      </c>
      <c r="M24" s="18">
        <v>3</v>
      </c>
      <c r="N24" s="19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</row>
    <row r="25" spans="1:37" ht="16.5" x14ac:dyDescent="0.25">
      <c r="A25" s="45"/>
      <c r="B25" s="45"/>
      <c r="C25" s="41" t="s">
        <v>19</v>
      </c>
      <c r="D25" s="41"/>
      <c r="E25" s="40" t="s">
        <v>36</v>
      </c>
      <c r="F25" s="40"/>
      <c r="G25" s="18">
        <v>8</v>
      </c>
      <c r="H25" s="18">
        <v>10</v>
      </c>
      <c r="I25" s="18">
        <v>10</v>
      </c>
      <c r="J25" s="18">
        <v>10</v>
      </c>
      <c r="K25" s="18">
        <v>10</v>
      </c>
      <c r="L25" s="18">
        <v>10</v>
      </c>
      <c r="M25" s="18">
        <v>10</v>
      </c>
      <c r="N25" s="18">
        <v>5</v>
      </c>
      <c r="O25" s="19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</row>
    <row r="26" spans="1:37" ht="16.5" x14ac:dyDescent="0.25">
      <c r="A26" s="45"/>
      <c r="B26" s="45"/>
      <c r="C26" s="41"/>
      <c r="D26" s="41"/>
      <c r="E26" s="40"/>
      <c r="F26" s="40"/>
      <c r="G26" s="18"/>
      <c r="H26" s="18"/>
      <c r="I26" s="18"/>
      <c r="J26" s="18"/>
      <c r="K26" s="18"/>
      <c r="L26" s="18"/>
      <c r="M26" s="18"/>
      <c r="N26" s="18"/>
      <c r="O26" s="20">
        <v>2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6"/>
      <c r="AG26" s="6"/>
      <c r="AH26" s="6"/>
      <c r="AI26" s="6"/>
      <c r="AJ26" s="6"/>
      <c r="AK26" s="6"/>
    </row>
    <row r="27" spans="1:37" ht="16.5" x14ac:dyDescent="0.25">
      <c r="A27" s="45"/>
      <c r="B27" s="45" t="s">
        <v>20</v>
      </c>
      <c r="C27" s="41" t="s">
        <v>158</v>
      </c>
      <c r="D27" s="41"/>
      <c r="E27" s="40" t="s">
        <v>47</v>
      </c>
      <c r="F27" s="40"/>
      <c r="G27" s="18">
        <v>2</v>
      </c>
      <c r="H27" s="18">
        <v>2</v>
      </c>
      <c r="I27" s="18">
        <v>2</v>
      </c>
      <c r="J27" s="18">
        <v>2</v>
      </c>
      <c r="K27" s="18">
        <v>2</v>
      </c>
      <c r="L27" s="18">
        <v>2</v>
      </c>
      <c r="M27" s="18">
        <v>2</v>
      </c>
      <c r="N27" s="18">
        <v>2</v>
      </c>
      <c r="O27" s="18">
        <v>2</v>
      </c>
      <c r="P27" s="19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</row>
    <row r="28" spans="1:37" ht="16.5" x14ac:dyDescent="0.25">
      <c r="A28" s="45"/>
      <c r="B28" s="45"/>
      <c r="C28" s="41" t="s">
        <v>159</v>
      </c>
      <c r="D28" s="41"/>
      <c r="E28" s="40" t="s">
        <v>69</v>
      </c>
      <c r="F28" s="40"/>
      <c r="G28" s="18">
        <v>2</v>
      </c>
      <c r="H28" s="18">
        <v>2</v>
      </c>
      <c r="I28" s="18">
        <v>2</v>
      </c>
      <c r="J28" s="18">
        <v>2</v>
      </c>
      <c r="K28" s="18">
        <v>2</v>
      </c>
      <c r="L28" s="18">
        <v>2</v>
      </c>
      <c r="M28" s="18">
        <v>2</v>
      </c>
      <c r="N28" s="18">
        <v>2</v>
      </c>
      <c r="O28" s="18">
        <v>2</v>
      </c>
      <c r="P28" s="19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</row>
    <row r="29" spans="1:37" ht="16.5" x14ac:dyDescent="0.25">
      <c r="A29" s="45"/>
      <c r="B29" s="45"/>
      <c r="C29" s="41" t="s">
        <v>160</v>
      </c>
      <c r="D29" s="41"/>
      <c r="E29" s="40" t="s">
        <v>54</v>
      </c>
      <c r="F29" s="40"/>
      <c r="G29" s="18">
        <v>2</v>
      </c>
      <c r="H29" s="18">
        <v>2</v>
      </c>
      <c r="I29" s="18">
        <v>2</v>
      </c>
      <c r="J29" s="18">
        <v>2</v>
      </c>
      <c r="K29" s="18">
        <v>2</v>
      </c>
      <c r="L29" s="18">
        <v>2</v>
      </c>
      <c r="M29" s="18">
        <v>2</v>
      </c>
      <c r="N29" s="18">
        <v>2</v>
      </c>
      <c r="O29" s="18">
        <v>2</v>
      </c>
      <c r="P29" s="18">
        <v>2</v>
      </c>
      <c r="Q29" s="19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</row>
    <row r="30" spans="1:37" ht="16.5" x14ac:dyDescent="0.25">
      <c r="A30" s="45"/>
      <c r="B30" s="45"/>
      <c r="C30" s="41" t="s">
        <v>161</v>
      </c>
      <c r="D30" s="41"/>
      <c r="E30" s="40" t="s">
        <v>70</v>
      </c>
      <c r="F30" s="40"/>
      <c r="G30" s="18">
        <v>2</v>
      </c>
      <c r="H30" s="18">
        <v>2</v>
      </c>
      <c r="I30" s="18">
        <v>2</v>
      </c>
      <c r="J30" s="18">
        <v>2</v>
      </c>
      <c r="K30" s="18">
        <v>2</v>
      </c>
      <c r="L30" s="18">
        <v>2</v>
      </c>
      <c r="M30" s="18">
        <v>2</v>
      </c>
      <c r="N30" s="18">
        <v>2</v>
      </c>
      <c r="O30" s="18">
        <v>2</v>
      </c>
      <c r="P30" s="18">
        <v>2</v>
      </c>
      <c r="Q30" s="19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</row>
    <row r="31" spans="1:37" ht="16.5" x14ac:dyDescent="0.25">
      <c r="A31" s="45"/>
      <c r="B31" s="45"/>
      <c r="C31" s="41" t="s">
        <v>162</v>
      </c>
      <c r="D31" s="41"/>
      <c r="E31" s="40" t="s">
        <v>55</v>
      </c>
      <c r="F31" s="40"/>
      <c r="G31" s="18">
        <v>5</v>
      </c>
      <c r="H31" s="18">
        <v>2</v>
      </c>
      <c r="I31" s="18">
        <v>2</v>
      </c>
      <c r="J31" s="18">
        <v>2</v>
      </c>
      <c r="K31" s="18">
        <v>2</v>
      </c>
      <c r="L31" s="18">
        <v>2</v>
      </c>
      <c r="M31" s="18">
        <v>2</v>
      </c>
      <c r="N31" s="18">
        <v>2</v>
      </c>
      <c r="O31" s="18">
        <v>2</v>
      </c>
      <c r="P31" s="18">
        <v>2</v>
      </c>
      <c r="Q31" s="19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</row>
    <row r="32" spans="1:37" ht="16.5" x14ac:dyDescent="0.25">
      <c r="A32" s="45"/>
      <c r="B32" s="45"/>
      <c r="C32" s="46"/>
      <c r="D32" s="48"/>
      <c r="E32" s="40"/>
      <c r="F32" s="40"/>
      <c r="G32" s="18"/>
      <c r="H32" s="18"/>
      <c r="I32" s="18"/>
      <c r="J32" s="18"/>
      <c r="K32" s="18"/>
      <c r="L32" s="18"/>
      <c r="M32" s="18"/>
      <c r="N32" s="18"/>
      <c r="O32" s="18"/>
      <c r="P32" s="33"/>
      <c r="Q32" s="34">
        <v>3</v>
      </c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6"/>
      <c r="AG32" s="6"/>
      <c r="AH32" s="6"/>
      <c r="AI32" s="6"/>
      <c r="AJ32" s="6"/>
      <c r="AK32" s="6"/>
    </row>
    <row r="33" spans="1:37" ht="16.5" x14ac:dyDescent="0.25">
      <c r="A33" s="45"/>
      <c r="B33" s="45"/>
      <c r="C33" s="41" t="s">
        <v>18</v>
      </c>
      <c r="D33" s="41"/>
      <c r="E33" s="40" t="s">
        <v>36</v>
      </c>
      <c r="F33" s="40"/>
      <c r="G33" s="18">
        <v>8</v>
      </c>
      <c r="H33" s="18">
        <v>10</v>
      </c>
      <c r="I33" s="18">
        <v>10</v>
      </c>
      <c r="J33" s="18">
        <v>10</v>
      </c>
      <c r="K33" s="18">
        <v>10</v>
      </c>
      <c r="L33" s="18">
        <v>10</v>
      </c>
      <c r="M33" s="18">
        <v>10</v>
      </c>
      <c r="N33" s="18">
        <v>10</v>
      </c>
      <c r="O33" s="18">
        <v>10</v>
      </c>
      <c r="P33" s="18">
        <v>10</v>
      </c>
      <c r="Q33" s="33">
        <v>10</v>
      </c>
      <c r="R33" s="19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</row>
    <row r="34" spans="1:37" ht="16.5" x14ac:dyDescent="0.25">
      <c r="A34" s="45"/>
      <c r="B34" s="45"/>
      <c r="C34" s="41"/>
      <c r="D34" s="41"/>
      <c r="E34" s="40"/>
      <c r="F34" s="40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20">
        <v>2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6"/>
      <c r="AG34" s="6"/>
      <c r="AH34" s="6"/>
      <c r="AI34" s="6"/>
      <c r="AJ34" s="6"/>
      <c r="AK34" s="6"/>
    </row>
    <row r="35" spans="1:37" ht="16.5" x14ac:dyDescent="0.25">
      <c r="A35" s="45"/>
      <c r="B35" s="45" t="s">
        <v>23</v>
      </c>
      <c r="C35" s="41" t="s">
        <v>163</v>
      </c>
      <c r="D35" s="41"/>
      <c r="E35" s="40" t="s">
        <v>47</v>
      </c>
      <c r="F35" s="40"/>
      <c r="G35" s="18">
        <v>3</v>
      </c>
      <c r="H35" s="18">
        <v>3</v>
      </c>
      <c r="I35" s="18">
        <v>3</v>
      </c>
      <c r="J35" s="18">
        <v>3</v>
      </c>
      <c r="K35" s="18">
        <v>3</v>
      </c>
      <c r="L35" s="18">
        <v>3</v>
      </c>
      <c r="M35" s="18">
        <v>3</v>
      </c>
      <c r="N35" s="18">
        <v>3</v>
      </c>
      <c r="O35" s="18">
        <v>3</v>
      </c>
      <c r="P35" s="18">
        <v>3</v>
      </c>
      <c r="Q35" s="18">
        <v>2</v>
      </c>
      <c r="R35" s="18">
        <v>2</v>
      </c>
      <c r="S35" s="19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</row>
    <row r="36" spans="1:37" ht="16.5" x14ac:dyDescent="0.25">
      <c r="A36" s="45"/>
      <c r="B36" s="45"/>
      <c r="C36" s="41" t="s">
        <v>165</v>
      </c>
      <c r="D36" s="41"/>
      <c r="E36" s="40" t="s">
        <v>69</v>
      </c>
      <c r="F36" s="40"/>
      <c r="G36" s="18">
        <v>3</v>
      </c>
      <c r="H36" s="18">
        <v>3</v>
      </c>
      <c r="I36" s="18">
        <v>3</v>
      </c>
      <c r="J36" s="18">
        <v>3</v>
      </c>
      <c r="K36" s="18">
        <v>3</v>
      </c>
      <c r="L36" s="18">
        <v>3</v>
      </c>
      <c r="M36" s="18">
        <v>3</v>
      </c>
      <c r="N36" s="18">
        <v>3</v>
      </c>
      <c r="O36" s="18">
        <v>3</v>
      </c>
      <c r="P36" s="18">
        <v>3</v>
      </c>
      <c r="Q36" s="18">
        <v>3</v>
      </c>
      <c r="R36" s="18">
        <v>3</v>
      </c>
      <c r="S36" s="18">
        <v>3</v>
      </c>
      <c r="T36" s="19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</row>
    <row r="37" spans="1:37" ht="16.5" x14ac:dyDescent="0.25">
      <c r="A37" s="45"/>
      <c r="B37" s="45"/>
      <c r="C37" s="41" t="s">
        <v>164</v>
      </c>
      <c r="D37" s="41"/>
      <c r="E37" s="40" t="s">
        <v>54</v>
      </c>
      <c r="F37" s="40"/>
      <c r="G37" s="18">
        <v>1</v>
      </c>
      <c r="H37" s="18">
        <v>3</v>
      </c>
      <c r="I37" s="18">
        <v>3</v>
      </c>
      <c r="J37" s="18">
        <v>3</v>
      </c>
      <c r="K37" s="18">
        <v>3</v>
      </c>
      <c r="L37" s="18">
        <v>3</v>
      </c>
      <c r="M37" s="18">
        <v>3</v>
      </c>
      <c r="N37" s="18">
        <v>3</v>
      </c>
      <c r="O37" s="18">
        <v>3</v>
      </c>
      <c r="P37" s="18">
        <v>3</v>
      </c>
      <c r="Q37" s="18">
        <v>3</v>
      </c>
      <c r="R37" s="18">
        <v>3</v>
      </c>
      <c r="S37" s="18">
        <v>3</v>
      </c>
      <c r="T37" s="18">
        <v>3</v>
      </c>
      <c r="U37" s="19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</row>
    <row r="38" spans="1:37" ht="16.5" x14ac:dyDescent="0.25">
      <c r="A38" s="45"/>
      <c r="B38" s="45"/>
      <c r="C38" s="43"/>
      <c r="D38" s="44"/>
      <c r="E38" s="43"/>
      <c r="F38" s="44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20">
        <v>2</v>
      </c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37" ht="16.5" x14ac:dyDescent="0.25">
      <c r="A39" s="45"/>
      <c r="B39" s="45"/>
      <c r="C39" s="41" t="s">
        <v>166</v>
      </c>
      <c r="D39" s="41"/>
      <c r="E39" s="40" t="s">
        <v>70</v>
      </c>
      <c r="F39" s="40"/>
      <c r="G39" s="18">
        <v>3</v>
      </c>
      <c r="H39" s="18">
        <v>3</v>
      </c>
      <c r="I39" s="18">
        <v>3</v>
      </c>
      <c r="J39" s="18">
        <v>3</v>
      </c>
      <c r="K39" s="18">
        <v>3</v>
      </c>
      <c r="L39" s="18">
        <v>3</v>
      </c>
      <c r="M39" s="18">
        <v>3</v>
      </c>
      <c r="N39" s="18">
        <v>3</v>
      </c>
      <c r="O39" s="18">
        <v>3</v>
      </c>
      <c r="P39" s="18">
        <v>3</v>
      </c>
      <c r="Q39" s="18">
        <v>3</v>
      </c>
      <c r="R39" s="18">
        <v>3</v>
      </c>
      <c r="S39" s="18">
        <v>3</v>
      </c>
      <c r="T39" s="18">
        <v>3</v>
      </c>
      <c r="U39" s="18">
        <v>3</v>
      </c>
      <c r="V39" s="19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</row>
    <row r="40" spans="1:37" ht="16.5" x14ac:dyDescent="0.25">
      <c r="A40" s="45"/>
      <c r="B40" s="45"/>
      <c r="C40" s="41" t="s">
        <v>167</v>
      </c>
      <c r="D40" s="41"/>
      <c r="E40" s="40" t="s">
        <v>55</v>
      </c>
      <c r="F40" s="40"/>
      <c r="G40" s="18">
        <v>5</v>
      </c>
      <c r="H40" s="18">
        <v>3</v>
      </c>
      <c r="I40" s="18">
        <v>3</v>
      </c>
      <c r="J40" s="18">
        <v>3</v>
      </c>
      <c r="K40" s="18">
        <v>3</v>
      </c>
      <c r="L40" s="18">
        <v>3</v>
      </c>
      <c r="M40" s="18">
        <v>3</v>
      </c>
      <c r="N40" s="18">
        <v>3</v>
      </c>
      <c r="O40" s="18">
        <v>3</v>
      </c>
      <c r="P40" s="18">
        <v>3</v>
      </c>
      <c r="Q40" s="18">
        <v>3</v>
      </c>
      <c r="R40" s="18">
        <v>3</v>
      </c>
      <c r="S40" s="18">
        <v>3</v>
      </c>
      <c r="T40" s="18">
        <v>3</v>
      </c>
      <c r="U40" s="18">
        <v>3</v>
      </c>
      <c r="V40" s="18">
        <v>3</v>
      </c>
      <c r="W40" s="19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</row>
    <row r="41" spans="1:37" ht="16.5" x14ac:dyDescent="0.25">
      <c r="A41" s="45"/>
      <c r="B41" s="45"/>
      <c r="C41" s="43"/>
      <c r="D41" s="44"/>
      <c r="E41" s="43"/>
      <c r="F41" s="44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34">
        <v>2</v>
      </c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ht="16.5" x14ac:dyDescent="0.25">
      <c r="A42" s="45"/>
      <c r="B42" s="45"/>
      <c r="C42" s="41" t="s">
        <v>168</v>
      </c>
      <c r="D42" s="41"/>
      <c r="E42" s="40" t="s">
        <v>47</v>
      </c>
      <c r="F42" s="40"/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1</v>
      </c>
      <c r="X42" s="19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</row>
    <row r="43" spans="1:37" ht="16.5" x14ac:dyDescent="0.25">
      <c r="A43" s="45"/>
      <c r="B43" s="45"/>
      <c r="C43" s="41" t="s">
        <v>169</v>
      </c>
      <c r="D43" s="41"/>
      <c r="E43" s="40" t="s">
        <v>69</v>
      </c>
      <c r="F43" s="40"/>
      <c r="G43" s="18">
        <v>3</v>
      </c>
      <c r="H43" s="18">
        <v>3</v>
      </c>
      <c r="I43" s="18">
        <v>3</v>
      </c>
      <c r="J43" s="18">
        <v>3</v>
      </c>
      <c r="K43" s="18">
        <v>3</v>
      </c>
      <c r="L43" s="18">
        <v>3</v>
      </c>
      <c r="M43" s="18">
        <v>3</v>
      </c>
      <c r="N43" s="18">
        <v>3</v>
      </c>
      <c r="O43" s="18">
        <v>3</v>
      </c>
      <c r="P43" s="18">
        <v>3</v>
      </c>
      <c r="Q43" s="18">
        <v>3</v>
      </c>
      <c r="R43" s="18">
        <v>3</v>
      </c>
      <c r="S43" s="18">
        <v>3</v>
      </c>
      <c r="T43" s="18">
        <v>3</v>
      </c>
      <c r="U43" s="18">
        <v>3</v>
      </c>
      <c r="V43" s="18">
        <v>3</v>
      </c>
      <c r="W43" s="18">
        <v>2</v>
      </c>
      <c r="X43" s="18">
        <v>1</v>
      </c>
      <c r="Y43" s="19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</row>
    <row r="44" spans="1:37" ht="16.5" x14ac:dyDescent="0.25">
      <c r="A44" s="45"/>
      <c r="B44" s="45"/>
      <c r="C44" s="41" t="s">
        <v>170</v>
      </c>
      <c r="D44" s="41"/>
      <c r="E44" s="40" t="s">
        <v>54</v>
      </c>
      <c r="F44" s="40"/>
      <c r="G44" s="18">
        <v>3</v>
      </c>
      <c r="H44" s="18">
        <v>3</v>
      </c>
      <c r="I44" s="18">
        <v>3</v>
      </c>
      <c r="J44" s="18">
        <v>3</v>
      </c>
      <c r="K44" s="18">
        <v>3</v>
      </c>
      <c r="L44" s="18">
        <v>3</v>
      </c>
      <c r="M44" s="18">
        <v>3</v>
      </c>
      <c r="N44" s="18">
        <v>3</v>
      </c>
      <c r="O44" s="18">
        <v>3</v>
      </c>
      <c r="P44" s="18">
        <v>3</v>
      </c>
      <c r="Q44" s="18">
        <v>3</v>
      </c>
      <c r="R44" s="18">
        <v>3</v>
      </c>
      <c r="S44" s="18">
        <v>3</v>
      </c>
      <c r="T44" s="18">
        <v>3</v>
      </c>
      <c r="U44" s="18">
        <v>3</v>
      </c>
      <c r="V44" s="18">
        <v>3</v>
      </c>
      <c r="W44" s="18">
        <v>3</v>
      </c>
      <c r="X44" s="18">
        <v>3</v>
      </c>
      <c r="Y44" s="18">
        <v>2</v>
      </c>
      <c r="Z44" s="19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</row>
    <row r="45" spans="1:37" ht="16.5" x14ac:dyDescent="0.25">
      <c r="A45" s="45"/>
      <c r="B45" s="45"/>
      <c r="C45" s="41" t="s">
        <v>171</v>
      </c>
      <c r="D45" s="41"/>
      <c r="E45" s="40" t="s">
        <v>70</v>
      </c>
      <c r="F45" s="40"/>
      <c r="G45" s="18">
        <v>3</v>
      </c>
      <c r="H45" s="18">
        <v>3</v>
      </c>
      <c r="I45" s="18">
        <v>3</v>
      </c>
      <c r="J45" s="18">
        <v>3</v>
      </c>
      <c r="K45" s="18">
        <v>3</v>
      </c>
      <c r="L45" s="18">
        <v>3</v>
      </c>
      <c r="M45" s="18">
        <v>3</v>
      </c>
      <c r="N45" s="18">
        <v>3</v>
      </c>
      <c r="O45" s="18">
        <v>3</v>
      </c>
      <c r="P45" s="18">
        <v>3</v>
      </c>
      <c r="Q45" s="18">
        <v>3</v>
      </c>
      <c r="R45" s="18">
        <v>3</v>
      </c>
      <c r="S45" s="18">
        <v>3</v>
      </c>
      <c r="T45" s="18">
        <v>3</v>
      </c>
      <c r="U45" s="18">
        <v>3</v>
      </c>
      <c r="V45" s="18">
        <v>3</v>
      </c>
      <c r="W45" s="18">
        <v>3</v>
      </c>
      <c r="X45" s="18">
        <v>3</v>
      </c>
      <c r="Y45" s="18">
        <v>3</v>
      </c>
      <c r="Z45" s="18">
        <v>1</v>
      </c>
      <c r="AA45" s="19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</row>
    <row r="46" spans="1:37" ht="16.5" x14ac:dyDescent="0.25">
      <c r="A46" s="45"/>
      <c r="B46" s="45"/>
      <c r="C46" s="41" t="s">
        <v>172</v>
      </c>
      <c r="D46" s="41"/>
      <c r="E46" s="40" t="s">
        <v>55</v>
      </c>
      <c r="F46" s="40"/>
      <c r="G46" s="18">
        <v>10</v>
      </c>
      <c r="H46" s="18">
        <v>3</v>
      </c>
      <c r="I46" s="18">
        <v>3</v>
      </c>
      <c r="J46" s="18">
        <v>3</v>
      </c>
      <c r="K46" s="18">
        <v>3</v>
      </c>
      <c r="L46" s="18">
        <v>3</v>
      </c>
      <c r="M46" s="18">
        <v>3</v>
      </c>
      <c r="N46" s="18">
        <v>3</v>
      </c>
      <c r="O46" s="18">
        <v>3</v>
      </c>
      <c r="P46" s="18">
        <v>3</v>
      </c>
      <c r="Q46" s="18">
        <v>3</v>
      </c>
      <c r="R46" s="18">
        <v>3</v>
      </c>
      <c r="S46" s="18">
        <v>3</v>
      </c>
      <c r="T46" s="18">
        <v>3</v>
      </c>
      <c r="U46" s="18">
        <v>3</v>
      </c>
      <c r="V46" s="18">
        <v>3</v>
      </c>
      <c r="W46" s="18">
        <v>3</v>
      </c>
      <c r="X46" s="18">
        <v>3</v>
      </c>
      <c r="Y46" s="18">
        <v>3</v>
      </c>
      <c r="Z46" s="18">
        <v>1</v>
      </c>
      <c r="AA46" s="19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</row>
    <row r="47" spans="1:37" ht="16.5" x14ac:dyDescent="0.25">
      <c r="A47" s="45"/>
      <c r="B47" s="45"/>
      <c r="C47" s="43"/>
      <c r="D47" s="44"/>
      <c r="E47" s="43"/>
      <c r="F47" s="44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34">
        <v>7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ht="16.5" x14ac:dyDescent="0.25">
      <c r="A48" s="45"/>
      <c r="B48" s="45"/>
      <c r="C48" s="41" t="s">
        <v>22</v>
      </c>
      <c r="D48" s="41"/>
      <c r="E48" s="42" t="s">
        <v>36</v>
      </c>
      <c r="F48" s="42"/>
      <c r="G48" s="18">
        <v>8</v>
      </c>
      <c r="H48" s="18">
        <v>10</v>
      </c>
      <c r="I48" s="18">
        <v>10</v>
      </c>
      <c r="J48" s="18">
        <v>10</v>
      </c>
      <c r="K48" s="18">
        <v>10</v>
      </c>
      <c r="L48" s="18">
        <v>10</v>
      </c>
      <c r="M48" s="18">
        <v>10</v>
      </c>
      <c r="N48" s="18">
        <v>10</v>
      </c>
      <c r="O48" s="18">
        <v>10</v>
      </c>
      <c r="P48" s="18">
        <v>10</v>
      </c>
      <c r="Q48" s="18">
        <v>10</v>
      </c>
      <c r="R48" s="18">
        <v>10</v>
      </c>
      <c r="S48" s="18">
        <v>10</v>
      </c>
      <c r="T48" s="18">
        <v>10</v>
      </c>
      <c r="U48" s="18">
        <v>10</v>
      </c>
      <c r="V48" s="18">
        <v>10</v>
      </c>
      <c r="W48" s="18">
        <v>10</v>
      </c>
      <c r="X48" s="18">
        <v>10</v>
      </c>
      <c r="Y48" s="35">
        <v>10</v>
      </c>
      <c r="Z48" s="18">
        <v>10</v>
      </c>
      <c r="AA48" s="18">
        <v>5</v>
      </c>
      <c r="AB48" s="19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</row>
    <row r="49" spans="1:37" ht="16.5" x14ac:dyDescent="0.25">
      <c r="A49" s="45"/>
      <c r="B49" s="45"/>
      <c r="C49" s="40"/>
      <c r="D49" s="40"/>
      <c r="E49" s="40"/>
      <c r="F49" s="40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20">
        <v>2</v>
      </c>
      <c r="AC49" s="18"/>
      <c r="AD49" s="18"/>
      <c r="AE49" s="18"/>
      <c r="AF49" s="18"/>
      <c r="AG49" s="18"/>
      <c r="AH49" s="18"/>
      <c r="AI49" s="18"/>
      <c r="AJ49" s="18"/>
      <c r="AK49" s="18"/>
    </row>
    <row r="50" spans="1:37" ht="16.5" x14ac:dyDescent="0.25">
      <c r="A50" s="45"/>
      <c r="B50" s="45" t="s">
        <v>24</v>
      </c>
      <c r="C50" s="41" t="s">
        <v>173</v>
      </c>
      <c r="D50" s="41"/>
      <c r="E50" s="40" t="s">
        <v>47</v>
      </c>
      <c r="F50" s="40"/>
      <c r="G50" s="18">
        <v>2</v>
      </c>
      <c r="H50" s="18">
        <v>2</v>
      </c>
      <c r="I50" s="18">
        <v>2</v>
      </c>
      <c r="J50" s="18">
        <v>2</v>
      </c>
      <c r="K50" s="18">
        <v>2</v>
      </c>
      <c r="L50" s="18">
        <v>2</v>
      </c>
      <c r="M50" s="18">
        <v>2</v>
      </c>
      <c r="N50" s="18">
        <v>2</v>
      </c>
      <c r="O50" s="18">
        <v>2</v>
      </c>
      <c r="P50" s="18">
        <v>2</v>
      </c>
      <c r="Q50" s="18">
        <v>2</v>
      </c>
      <c r="R50" s="18">
        <v>2</v>
      </c>
      <c r="S50" s="18">
        <v>2</v>
      </c>
      <c r="T50" s="18">
        <v>2</v>
      </c>
      <c r="U50" s="18">
        <v>2</v>
      </c>
      <c r="V50" s="18">
        <v>2</v>
      </c>
      <c r="W50" s="18">
        <v>2</v>
      </c>
      <c r="X50" s="18">
        <v>2</v>
      </c>
      <c r="Y50" s="18">
        <v>2</v>
      </c>
      <c r="Z50" s="18">
        <v>2</v>
      </c>
      <c r="AA50" s="18">
        <v>2</v>
      </c>
      <c r="AB50" s="18">
        <v>2</v>
      </c>
      <c r="AC50" s="19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</row>
    <row r="51" spans="1:37" ht="16.5" x14ac:dyDescent="0.25">
      <c r="A51" s="45"/>
      <c r="B51" s="45"/>
      <c r="C51" s="41" t="s">
        <v>174</v>
      </c>
      <c r="D51" s="41"/>
      <c r="E51" s="40" t="s">
        <v>69</v>
      </c>
      <c r="F51" s="40"/>
      <c r="G51" s="18">
        <v>2</v>
      </c>
      <c r="H51" s="18">
        <v>2</v>
      </c>
      <c r="I51" s="18">
        <v>2</v>
      </c>
      <c r="J51" s="18">
        <v>2</v>
      </c>
      <c r="K51" s="18">
        <v>2</v>
      </c>
      <c r="L51" s="18">
        <v>2</v>
      </c>
      <c r="M51" s="18">
        <v>2</v>
      </c>
      <c r="N51" s="18">
        <v>2</v>
      </c>
      <c r="O51" s="18">
        <v>2</v>
      </c>
      <c r="P51" s="18">
        <v>2</v>
      </c>
      <c r="Q51" s="18">
        <v>2</v>
      </c>
      <c r="R51" s="18">
        <v>2</v>
      </c>
      <c r="S51" s="18">
        <v>2</v>
      </c>
      <c r="T51" s="18">
        <v>2</v>
      </c>
      <c r="U51" s="18">
        <v>2</v>
      </c>
      <c r="V51" s="18">
        <v>2</v>
      </c>
      <c r="W51" s="18">
        <v>2</v>
      </c>
      <c r="X51" s="18">
        <v>2</v>
      </c>
      <c r="Y51" s="18">
        <v>2</v>
      </c>
      <c r="Z51" s="18">
        <v>2</v>
      </c>
      <c r="AA51" s="18">
        <v>2</v>
      </c>
      <c r="AB51" s="18">
        <v>2</v>
      </c>
      <c r="AC51" s="19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</row>
    <row r="52" spans="1:37" ht="16.5" x14ac:dyDescent="0.25">
      <c r="A52" s="45"/>
      <c r="B52" s="45"/>
      <c r="C52" s="41" t="s">
        <v>175</v>
      </c>
      <c r="D52" s="41"/>
      <c r="E52" s="40" t="s">
        <v>54</v>
      </c>
      <c r="F52" s="40"/>
      <c r="G52" s="18">
        <v>2</v>
      </c>
      <c r="H52" s="18">
        <v>2</v>
      </c>
      <c r="I52" s="18">
        <v>2</v>
      </c>
      <c r="J52" s="18">
        <v>2</v>
      </c>
      <c r="K52" s="18">
        <v>2</v>
      </c>
      <c r="L52" s="18">
        <v>2</v>
      </c>
      <c r="M52" s="18">
        <v>2</v>
      </c>
      <c r="N52" s="18">
        <v>2</v>
      </c>
      <c r="O52" s="18">
        <v>2</v>
      </c>
      <c r="P52" s="18">
        <v>2</v>
      </c>
      <c r="Q52" s="18">
        <v>2</v>
      </c>
      <c r="R52" s="18">
        <v>2</v>
      </c>
      <c r="S52" s="18">
        <v>2</v>
      </c>
      <c r="T52" s="18">
        <v>2</v>
      </c>
      <c r="U52" s="18">
        <v>2</v>
      </c>
      <c r="V52" s="18">
        <v>2</v>
      </c>
      <c r="W52" s="18">
        <v>2</v>
      </c>
      <c r="X52" s="18">
        <v>2</v>
      </c>
      <c r="Y52" s="18">
        <v>2</v>
      </c>
      <c r="Z52" s="18">
        <v>2</v>
      </c>
      <c r="AA52" s="18">
        <v>2</v>
      </c>
      <c r="AB52" s="18">
        <v>2</v>
      </c>
      <c r="AC52" s="19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</row>
    <row r="53" spans="1:37" ht="16.5" x14ac:dyDescent="0.25">
      <c r="A53" s="45"/>
      <c r="B53" s="45"/>
      <c r="C53" s="41" t="s">
        <v>176</v>
      </c>
      <c r="D53" s="41"/>
      <c r="E53" s="40" t="s">
        <v>70</v>
      </c>
      <c r="F53" s="40"/>
      <c r="G53" s="18">
        <v>2</v>
      </c>
      <c r="H53" s="18">
        <v>2</v>
      </c>
      <c r="I53" s="18">
        <v>2</v>
      </c>
      <c r="J53" s="18">
        <v>2</v>
      </c>
      <c r="K53" s="18">
        <v>2</v>
      </c>
      <c r="L53" s="18">
        <v>2</v>
      </c>
      <c r="M53" s="18">
        <v>2</v>
      </c>
      <c r="N53" s="18">
        <v>2</v>
      </c>
      <c r="O53" s="18">
        <v>2</v>
      </c>
      <c r="P53" s="18">
        <v>2</v>
      </c>
      <c r="Q53" s="18">
        <v>2</v>
      </c>
      <c r="R53" s="18">
        <v>2</v>
      </c>
      <c r="S53" s="18">
        <v>2</v>
      </c>
      <c r="T53" s="18">
        <v>2</v>
      </c>
      <c r="U53" s="18">
        <v>2</v>
      </c>
      <c r="V53" s="18">
        <v>2</v>
      </c>
      <c r="W53" s="18">
        <v>2</v>
      </c>
      <c r="X53" s="18">
        <v>2</v>
      </c>
      <c r="Y53" s="18">
        <v>2</v>
      </c>
      <c r="Z53" s="18">
        <v>2</v>
      </c>
      <c r="AA53" s="18">
        <v>2</v>
      </c>
      <c r="AB53" s="18">
        <v>2</v>
      </c>
      <c r="AC53" s="18">
        <v>2</v>
      </c>
      <c r="AD53" s="19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</row>
    <row r="54" spans="1:37" ht="16.5" x14ac:dyDescent="0.25">
      <c r="A54" s="45"/>
      <c r="B54" s="45"/>
      <c r="C54" s="41" t="s">
        <v>177</v>
      </c>
      <c r="D54" s="41"/>
      <c r="E54" s="40" t="s">
        <v>55</v>
      </c>
      <c r="F54" s="40"/>
      <c r="G54" s="18">
        <v>2</v>
      </c>
      <c r="H54" s="18">
        <v>2</v>
      </c>
      <c r="I54" s="18">
        <v>2</v>
      </c>
      <c r="J54" s="18">
        <v>2</v>
      </c>
      <c r="K54" s="18">
        <v>2</v>
      </c>
      <c r="L54" s="18">
        <v>2</v>
      </c>
      <c r="M54" s="18">
        <v>2</v>
      </c>
      <c r="N54" s="18">
        <v>2</v>
      </c>
      <c r="O54" s="18">
        <v>2</v>
      </c>
      <c r="P54" s="18">
        <v>2</v>
      </c>
      <c r="Q54" s="18">
        <v>2</v>
      </c>
      <c r="R54" s="18">
        <v>2</v>
      </c>
      <c r="S54" s="18">
        <v>2</v>
      </c>
      <c r="T54" s="18">
        <v>2</v>
      </c>
      <c r="U54" s="18">
        <v>2</v>
      </c>
      <c r="V54" s="18">
        <v>2</v>
      </c>
      <c r="W54" s="18">
        <v>2</v>
      </c>
      <c r="X54" s="18">
        <v>2</v>
      </c>
      <c r="Y54" s="18">
        <v>2</v>
      </c>
      <c r="Z54" s="18">
        <v>2</v>
      </c>
      <c r="AA54" s="18">
        <v>2</v>
      </c>
      <c r="AB54" s="18">
        <v>2</v>
      </c>
      <c r="AC54" s="18">
        <v>2</v>
      </c>
      <c r="AD54" s="19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</row>
    <row r="55" spans="1:37" ht="16.5" x14ac:dyDescent="0.25">
      <c r="A55" s="45"/>
      <c r="B55" s="45" t="s">
        <v>25</v>
      </c>
      <c r="C55" s="41" t="s">
        <v>178</v>
      </c>
      <c r="D55" s="41"/>
      <c r="E55" s="40" t="s">
        <v>47</v>
      </c>
      <c r="F55" s="40"/>
      <c r="G55" s="18">
        <v>2</v>
      </c>
      <c r="H55" s="18">
        <v>2</v>
      </c>
      <c r="I55" s="18">
        <v>2</v>
      </c>
      <c r="J55" s="18">
        <v>2</v>
      </c>
      <c r="K55" s="18">
        <v>2</v>
      </c>
      <c r="L55" s="18">
        <v>2</v>
      </c>
      <c r="M55" s="18">
        <v>2</v>
      </c>
      <c r="N55" s="18">
        <v>2</v>
      </c>
      <c r="O55" s="18">
        <v>2</v>
      </c>
      <c r="P55" s="18">
        <v>2</v>
      </c>
      <c r="Q55" s="18">
        <v>2</v>
      </c>
      <c r="R55" s="18">
        <v>2</v>
      </c>
      <c r="S55" s="18">
        <v>2</v>
      </c>
      <c r="T55" s="18">
        <v>2</v>
      </c>
      <c r="U55" s="18">
        <v>2</v>
      </c>
      <c r="V55" s="18">
        <v>2</v>
      </c>
      <c r="W55" s="18">
        <v>2</v>
      </c>
      <c r="X55" s="18">
        <v>2</v>
      </c>
      <c r="Y55" s="18">
        <v>2</v>
      </c>
      <c r="Z55" s="18">
        <v>2</v>
      </c>
      <c r="AA55" s="18">
        <v>2</v>
      </c>
      <c r="AB55" s="18">
        <v>2</v>
      </c>
      <c r="AC55" s="18">
        <v>2</v>
      </c>
      <c r="AD55" s="18">
        <v>2</v>
      </c>
      <c r="AE55" s="19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</row>
    <row r="56" spans="1:37" ht="16.5" x14ac:dyDescent="0.25">
      <c r="A56" s="45"/>
      <c r="B56" s="45"/>
      <c r="C56" s="41" t="s">
        <v>179</v>
      </c>
      <c r="D56" s="41"/>
      <c r="E56" s="40" t="s">
        <v>69</v>
      </c>
      <c r="F56" s="40"/>
      <c r="G56" s="18">
        <v>2</v>
      </c>
      <c r="H56" s="18">
        <v>2</v>
      </c>
      <c r="I56" s="18">
        <v>2</v>
      </c>
      <c r="J56" s="18">
        <v>2</v>
      </c>
      <c r="K56" s="18">
        <v>2</v>
      </c>
      <c r="L56" s="18">
        <v>2</v>
      </c>
      <c r="M56" s="18">
        <v>2</v>
      </c>
      <c r="N56" s="18">
        <v>2</v>
      </c>
      <c r="O56" s="18">
        <v>2</v>
      </c>
      <c r="P56" s="18">
        <v>2</v>
      </c>
      <c r="Q56" s="18">
        <v>2</v>
      </c>
      <c r="R56" s="18">
        <v>2</v>
      </c>
      <c r="S56" s="18">
        <v>2</v>
      </c>
      <c r="T56" s="18">
        <v>2</v>
      </c>
      <c r="U56" s="18">
        <v>2</v>
      </c>
      <c r="V56" s="18">
        <v>2</v>
      </c>
      <c r="W56" s="18">
        <v>2</v>
      </c>
      <c r="X56" s="18">
        <v>2</v>
      </c>
      <c r="Y56" s="18">
        <v>2</v>
      </c>
      <c r="Z56" s="18">
        <v>2</v>
      </c>
      <c r="AA56" s="18">
        <v>2</v>
      </c>
      <c r="AB56" s="18">
        <v>2</v>
      </c>
      <c r="AC56" s="18">
        <v>2</v>
      </c>
      <c r="AD56" s="18">
        <v>2</v>
      </c>
      <c r="AE56" s="19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</row>
    <row r="57" spans="1:37" ht="16.5" x14ac:dyDescent="0.25">
      <c r="A57" s="45"/>
      <c r="B57" s="45"/>
      <c r="C57" s="41" t="s">
        <v>180</v>
      </c>
      <c r="D57" s="41"/>
      <c r="E57" s="40" t="s">
        <v>54</v>
      </c>
      <c r="F57" s="40"/>
      <c r="G57" s="18">
        <v>2</v>
      </c>
      <c r="H57" s="18">
        <v>2</v>
      </c>
      <c r="I57" s="18">
        <v>2</v>
      </c>
      <c r="J57" s="18">
        <v>2</v>
      </c>
      <c r="K57" s="18">
        <v>2</v>
      </c>
      <c r="L57" s="18">
        <v>2</v>
      </c>
      <c r="M57" s="18">
        <v>2</v>
      </c>
      <c r="N57" s="18">
        <v>2</v>
      </c>
      <c r="O57" s="18">
        <v>2</v>
      </c>
      <c r="P57" s="18">
        <v>2</v>
      </c>
      <c r="Q57" s="18">
        <v>2</v>
      </c>
      <c r="R57" s="18">
        <v>2</v>
      </c>
      <c r="S57" s="18">
        <v>2</v>
      </c>
      <c r="T57" s="18">
        <v>2</v>
      </c>
      <c r="U57" s="18">
        <v>2</v>
      </c>
      <c r="V57" s="18">
        <v>2</v>
      </c>
      <c r="W57" s="18">
        <v>2</v>
      </c>
      <c r="X57" s="18">
        <v>2</v>
      </c>
      <c r="Y57" s="18">
        <v>2</v>
      </c>
      <c r="Z57" s="18">
        <v>2</v>
      </c>
      <c r="AA57" s="18">
        <v>2</v>
      </c>
      <c r="AB57" s="18">
        <v>2</v>
      </c>
      <c r="AC57" s="18">
        <v>2</v>
      </c>
      <c r="AD57" s="18">
        <v>2</v>
      </c>
      <c r="AE57" s="19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</row>
    <row r="58" spans="1:37" ht="16.5" x14ac:dyDescent="0.25">
      <c r="A58" s="45"/>
      <c r="B58" s="45"/>
      <c r="C58" s="41" t="s">
        <v>181</v>
      </c>
      <c r="D58" s="41"/>
      <c r="E58" s="40" t="s">
        <v>70</v>
      </c>
      <c r="F58" s="40"/>
      <c r="G58" s="18">
        <v>2</v>
      </c>
      <c r="H58" s="18">
        <v>2</v>
      </c>
      <c r="I58" s="18">
        <v>2</v>
      </c>
      <c r="J58" s="18">
        <v>2</v>
      </c>
      <c r="K58" s="18">
        <v>2</v>
      </c>
      <c r="L58" s="18">
        <v>2</v>
      </c>
      <c r="M58" s="18">
        <v>2</v>
      </c>
      <c r="N58" s="18">
        <v>2</v>
      </c>
      <c r="O58" s="18">
        <v>2</v>
      </c>
      <c r="P58" s="18">
        <v>2</v>
      </c>
      <c r="Q58" s="18">
        <v>2</v>
      </c>
      <c r="R58" s="18">
        <v>2</v>
      </c>
      <c r="S58" s="18">
        <v>2</v>
      </c>
      <c r="T58" s="18">
        <v>2</v>
      </c>
      <c r="U58" s="18">
        <v>2</v>
      </c>
      <c r="V58" s="18">
        <v>2</v>
      </c>
      <c r="W58" s="18">
        <v>2</v>
      </c>
      <c r="X58" s="18">
        <v>2</v>
      </c>
      <c r="Y58" s="18">
        <v>2</v>
      </c>
      <c r="Z58" s="18">
        <v>2</v>
      </c>
      <c r="AA58" s="18">
        <v>2</v>
      </c>
      <c r="AB58" s="18">
        <v>2</v>
      </c>
      <c r="AC58" s="18">
        <v>2</v>
      </c>
      <c r="AD58" s="18">
        <v>2</v>
      </c>
      <c r="AE58" s="18">
        <v>2</v>
      </c>
      <c r="AF58" s="19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</row>
    <row r="59" spans="1:37" ht="16.5" x14ac:dyDescent="0.25">
      <c r="A59" s="45"/>
      <c r="B59" s="45"/>
      <c r="C59" s="41" t="s">
        <v>182</v>
      </c>
      <c r="D59" s="41"/>
      <c r="E59" s="40" t="s">
        <v>55</v>
      </c>
      <c r="F59" s="40"/>
      <c r="G59" s="18">
        <v>2</v>
      </c>
      <c r="H59" s="18">
        <v>2</v>
      </c>
      <c r="I59" s="18">
        <v>2</v>
      </c>
      <c r="J59" s="18">
        <v>2</v>
      </c>
      <c r="K59" s="18">
        <v>2</v>
      </c>
      <c r="L59" s="18">
        <v>2</v>
      </c>
      <c r="M59" s="18">
        <v>2</v>
      </c>
      <c r="N59" s="18">
        <v>2</v>
      </c>
      <c r="O59" s="18">
        <v>2</v>
      </c>
      <c r="P59" s="18">
        <v>2</v>
      </c>
      <c r="Q59" s="18">
        <v>2</v>
      </c>
      <c r="R59" s="18">
        <v>2</v>
      </c>
      <c r="S59" s="18">
        <v>2</v>
      </c>
      <c r="T59" s="18">
        <v>2</v>
      </c>
      <c r="U59" s="18">
        <v>2</v>
      </c>
      <c r="V59" s="18">
        <v>2</v>
      </c>
      <c r="W59" s="18">
        <v>2</v>
      </c>
      <c r="X59" s="18">
        <v>2</v>
      </c>
      <c r="Y59" s="18">
        <v>2</v>
      </c>
      <c r="Z59" s="18">
        <v>2</v>
      </c>
      <c r="AA59" s="18">
        <v>2</v>
      </c>
      <c r="AB59" s="18">
        <v>2</v>
      </c>
      <c r="AC59" s="18">
        <v>2</v>
      </c>
      <c r="AD59" s="18">
        <v>2</v>
      </c>
      <c r="AE59" s="18">
        <v>2</v>
      </c>
      <c r="AF59" s="19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</row>
    <row r="60" spans="1:37" ht="16.5" x14ac:dyDescent="0.25">
      <c r="A60" s="45"/>
      <c r="B60" s="45" t="s">
        <v>32</v>
      </c>
      <c r="C60" s="41" t="s">
        <v>183</v>
      </c>
      <c r="D60" s="41"/>
      <c r="E60" s="40" t="s">
        <v>47</v>
      </c>
      <c r="F60" s="40"/>
      <c r="G60" s="18">
        <v>2</v>
      </c>
      <c r="H60" s="18">
        <v>2</v>
      </c>
      <c r="I60" s="18">
        <v>2</v>
      </c>
      <c r="J60" s="18">
        <v>2</v>
      </c>
      <c r="K60" s="18">
        <v>2</v>
      </c>
      <c r="L60" s="18">
        <v>2</v>
      </c>
      <c r="M60" s="18">
        <v>2</v>
      </c>
      <c r="N60" s="18">
        <v>2</v>
      </c>
      <c r="O60" s="18">
        <v>2</v>
      </c>
      <c r="P60" s="18">
        <v>2</v>
      </c>
      <c r="Q60" s="18">
        <v>2</v>
      </c>
      <c r="R60" s="18">
        <v>2</v>
      </c>
      <c r="S60" s="18">
        <v>2</v>
      </c>
      <c r="T60" s="18">
        <v>2</v>
      </c>
      <c r="U60" s="18">
        <v>2</v>
      </c>
      <c r="V60" s="18">
        <v>2</v>
      </c>
      <c r="W60" s="18">
        <v>2</v>
      </c>
      <c r="X60" s="18">
        <v>2</v>
      </c>
      <c r="Y60" s="18">
        <v>2</v>
      </c>
      <c r="Z60" s="18">
        <v>2</v>
      </c>
      <c r="AA60" s="18">
        <v>2</v>
      </c>
      <c r="AB60" s="18">
        <v>2</v>
      </c>
      <c r="AC60" s="18">
        <v>2</v>
      </c>
      <c r="AD60" s="18">
        <v>2</v>
      </c>
      <c r="AE60" s="18">
        <v>2</v>
      </c>
      <c r="AF60" s="18">
        <v>2</v>
      </c>
      <c r="AG60" s="19">
        <v>0</v>
      </c>
      <c r="AH60" s="18">
        <v>0</v>
      </c>
      <c r="AI60" s="18">
        <v>0</v>
      </c>
      <c r="AJ60" s="18">
        <v>0</v>
      </c>
      <c r="AK60" s="18">
        <v>0</v>
      </c>
    </row>
    <row r="61" spans="1:37" ht="16.5" x14ac:dyDescent="0.25">
      <c r="A61" s="45"/>
      <c r="B61" s="45"/>
      <c r="C61" s="41" t="s">
        <v>184</v>
      </c>
      <c r="D61" s="41"/>
      <c r="E61" s="40" t="s">
        <v>69</v>
      </c>
      <c r="F61" s="40"/>
      <c r="G61" s="18">
        <v>2</v>
      </c>
      <c r="H61" s="18">
        <v>2</v>
      </c>
      <c r="I61" s="18">
        <v>2</v>
      </c>
      <c r="J61" s="18">
        <v>2</v>
      </c>
      <c r="K61" s="18">
        <v>2</v>
      </c>
      <c r="L61" s="18">
        <v>2</v>
      </c>
      <c r="M61" s="18">
        <v>2</v>
      </c>
      <c r="N61" s="18">
        <v>2</v>
      </c>
      <c r="O61" s="18">
        <v>2</v>
      </c>
      <c r="P61" s="18">
        <v>2</v>
      </c>
      <c r="Q61" s="18">
        <v>2</v>
      </c>
      <c r="R61" s="18">
        <v>2</v>
      </c>
      <c r="S61" s="18">
        <v>2</v>
      </c>
      <c r="T61" s="18">
        <v>2</v>
      </c>
      <c r="U61" s="18">
        <v>2</v>
      </c>
      <c r="V61" s="18">
        <v>2</v>
      </c>
      <c r="W61" s="18">
        <v>2</v>
      </c>
      <c r="X61" s="18">
        <v>2</v>
      </c>
      <c r="Y61" s="18">
        <v>2</v>
      </c>
      <c r="Z61" s="18">
        <v>2</v>
      </c>
      <c r="AA61" s="18">
        <v>2</v>
      </c>
      <c r="AB61" s="18">
        <v>2</v>
      </c>
      <c r="AC61" s="18">
        <v>2</v>
      </c>
      <c r="AD61" s="18">
        <v>2</v>
      </c>
      <c r="AE61" s="18">
        <v>2</v>
      </c>
      <c r="AF61" s="18">
        <v>2</v>
      </c>
      <c r="AG61" s="19">
        <v>0</v>
      </c>
      <c r="AH61" s="18">
        <v>0</v>
      </c>
      <c r="AI61" s="18">
        <v>0</v>
      </c>
      <c r="AJ61" s="18">
        <v>0</v>
      </c>
      <c r="AK61" s="18">
        <v>0</v>
      </c>
    </row>
    <row r="62" spans="1:37" ht="16.5" x14ac:dyDescent="0.25">
      <c r="A62" s="45"/>
      <c r="B62" s="45"/>
      <c r="C62" s="41" t="s">
        <v>185</v>
      </c>
      <c r="D62" s="41"/>
      <c r="E62" s="40" t="s">
        <v>54</v>
      </c>
      <c r="F62" s="40"/>
      <c r="G62" s="18">
        <v>2</v>
      </c>
      <c r="H62" s="18">
        <v>2</v>
      </c>
      <c r="I62" s="18">
        <v>2</v>
      </c>
      <c r="J62" s="18">
        <v>2</v>
      </c>
      <c r="K62" s="18">
        <v>2</v>
      </c>
      <c r="L62" s="18">
        <v>2</v>
      </c>
      <c r="M62" s="18">
        <v>2</v>
      </c>
      <c r="N62" s="18">
        <v>2</v>
      </c>
      <c r="O62" s="18">
        <v>2</v>
      </c>
      <c r="P62" s="18">
        <v>2</v>
      </c>
      <c r="Q62" s="18">
        <v>2</v>
      </c>
      <c r="R62" s="18">
        <v>2</v>
      </c>
      <c r="S62" s="18">
        <v>2</v>
      </c>
      <c r="T62" s="18">
        <v>2</v>
      </c>
      <c r="U62" s="18">
        <v>2</v>
      </c>
      <c r="V62" s="18">
        <v>2</v>
      </c>
      <c r="W62" s="18">
        <v>2</v>
      </c>
      <c r="X62" s="18">
        <v>2</v>
      </c>
      <c r="Y62" s="18">
        <v>2</v>
      </c>
      <c r="Z62" s="18">
        <v>2</v>
      </c>
      <c r="AA62" s="18">
        <v>2</v>
      </c>
      <c r="AB62" s="18">
        <v>2</v>
      </c>
      <c r="AC62" s="18">
        <v>2</v>
      </c>
      <c r="AD62" s="18">
        <v>2</v>
      </c>
      <c r="AE62" s="18">
        <v>2</v>
      </c>
      <c r="AF62" s="18">
        <v>2</v>
      </c>
      <c r="AG62" s="19">
        <v>0</v>
      </c>
      <c r="AH62" s="18">
        <v>0</v>
      </c>
      <c r="AI62" s="18">
        <v>0</v>
      </c>
      <c r="AJ62" s="18">
        <v>0</v>
      </c>
      <c r="AK62" s="18">
        <v>0</v>
      </c>
    </row>
    <row r="63" spans="1:37" ht="16.5" x14ac:dyDescent="0.25">
      <c r="A63" s="45"/>
      <c r="B63" s="45"/>
      <c r="C63" s="41" t="s">
        <v>186</v>
      </c>
      <c r="D63" s="41"/>
      <c r="E63" s="40" t="s">
        <v>70</v>
      </c>
      <c r="F63" s="40"/>
      <c r="G63" s="18">
        <v>2</v>
      </c>
      <c r="H63" s="18">
        <v>2</v>
      </c>
      <c r="I63" s="18">
        <v>2</v>
      </c>
      <c r="J63" s="18">
        <v>2</v>
      </c>
      <c r="K63" s="18">
        <v>2</v>
      </c>
      <c r="L63" s="18">
        <v>2</v>
      </c>
      <c r="M63" s="18">
        <v>2</v>
      </c>
      <c r="N63" s="18">
        <v>2</v>
      </c>
      <c r="O63" s="18">
        <v>2</v>
      </c>
      <c r="P63" s="18">
        <v>2</v>
      </c>
      <c r="Q63" s="18">
        <v>2</v>
      </c>
      <c r="R63" s="18">
        <v>2</v>
      </c>
      <c r="S63" s="18">
        <v>2</v>
      </c>
      <c r="T63" s="18">
        <v>2</v>
      </c>
      <c r="U63" s="18">
        <v>2</v>
      </c>
      <c r="V63" s="18">
        <v>2</v>
      </c>
      <c r="W63" s="18">
        <v>2</v>
      </c>
      <c r="X63" s="18">
        <v>2</v>
      </c>
      <c r="Y63" s="18">
        <v>2</v>
      </c>
      <c r="Z63" s="18">
        <v>2</v>
      </c>
      <c r="AA63" s="18">
        <v>2</v>
      </c>
      <c r="AB63" s="18">
        <v>2</v>
      </c>
      <c r="AC63" s="18">
        <v>2</v>
      </c>
      <c r="AD63" s="18">
        <v>2</v>
      </c>
      <c r="AE63" s="18">
        <v>2</v>
      </c>
      <c r="AF63" s="18">
        <v>2</v>
      </c>
      <c r="AG63" s="19">
        <v>0</v>
      </c>
      <c r="AH63" s="18">
        <v>0</v>
      </c>
      <c r="AI63" s="18">
        <v>0</v>
      </c>
      <c r="AJ63" s="18">
        <v>0</v>
      </c>
      <c r="AK63" s="18">
        <v>0</v>
      </c>
    </row>
    <row r="64" spans="1:37" ht="16.5" x14ac:dyDescent="0.25">
      <c r="A64" s="45"/>
      <c r="B64" s="45"/>
      <c r="C64" s="41" t="s">
        <v>187</v>
      </c>
      <c r="D64" s="41"/>
      <c r="E64" s="40" t="s">
        <v>55</v>
      </c>
      <c r="F64" s="40"/>
      <c r="G64" s="18">
        <v>2</v>
      </c>
      <c r="H64" s="18">
        <v>2</v>
      </c>
      <c r="I64" s="18">
        <v>2</v>
      </c>
      <c r="J64" s="18">
        <v>2</v>
      </c>
      <c r="K64" s="18">
        <v>2</v>
      </c>
      <c r="L64" s="18">
        <v>2</v>
      </c>
      <c r="M64" s="18">
        <v>2</v>
      </c>
      <c r="N64" s="18">
        <v>2</v>
      </c>
      <c r="O64" s="18">
        <v>2</v>
      </c>
      <c r="P64" s="18">
        <v>2</v>
      </c>
      <c r="Q64" s="18">
        <v>2</v>
      </c>
      <c r="R64" s="18">
        <v>2</v>
      </c>
      <c r="S64" s="18">
        <v>2</v>
      </c>
      <c r="T64" s="18">
        <v>2</v>
      </c>
      <c r="U64" s="18">
        <v>2</v>
      </c>
      <c r="V64" s="18">
        <v>2</v>
      </c>
      <c r="W64" s="18">
        <v>2</v>
      </c>
      <c r="X64" s="18">
        <v>2</v>
      </c>
      <c r="Y64" s="18">
        <v>2</v>
      </c>
      <c r="Z64" s="18">
        <v>2</v>
      </c>
      <c r="AA64" s="18">
        <v>2</v>
      </c>
      <c r="AB64" s="18">
        <v>2</v>
      </c>
      <c r="AC64" s="18">
        <v>2</v>
      </c>
      <c r="AD64" s="18">
        <v>2</v>
      </c>
      <c r="AE64" s="18">
        <v>2</v>
      </c>
      <c r="AF64" s="18">
        <v>2</v>
      </c>
      <c r="AG64" s="19">
        <v>0</v>
      </c>
      <c r="AH64" s="18">
        <v>0</v>
      </c>
      <c r="AI64" s="18">
        <v>0</v>
      </c>
      <c r="AJ64" s="18">
        <v>0</v>
      </c>
      <c r="AK64" s="18">
        <v>0</v>
      </c>
    </row>
    <row r="65" spans="1:37" ht="16.5" x14ac:dyDescent="0.25">
      <c r="A65" s="45"/>
      <c r="B65" s="45" t="s">
        <v>31</v>
      </c>
      <c r="C65" s="41" t="s">
        <v>33</v>
      </c>
      <c r="D65" s="41"/>
      <c r="E65" s="42" t="s">
        <v>36</v>
      </c>
      <c r="F65" s="42"/>
      <c r="G65" s="18">
        <v>5</v>
      </c>
      <c r="H65" s="18">
        <v>5</v>
      </c>
      <c r="I65" s="18">
        <v>5</v>
      </c>
      <c r="J65" s="18">
        <v>5</v>
      </c>
      <c r="K65" s="18">
        <v>5</v>
      </c>
      <c r="L65" s="18">
        <v>5</v>
      </c>
      <c r="M65" s="18">
        <v>5</v>
      </c>
      <c r="N65" s="18">
        <v>5</v>
      </c>
      <c r="O65" s="18">
        <v>5</v>
      </c>
      <c r="P65" s="18">
        <v>5</v>
      </c>
      <c r="Q65" s="18">
        <v>5</v>
      </c>
      <c r="R65" s="18">
        <v>5</v>
      </c>
      <c r="S65" s="18">
        <v>5</v>
      </c>
      <c r="T65" s="18">
        <v>5</v>
      </c>
      <c r="U65" s="18">
        <v>5</v>
      </c>
      <c r="V65" s="18">
        <v>5</v>
      </c>
      <c r="W65" s="18">
        <v>5</v>
      </c>
      <c r="X65" s="18">
        <v>5</v>
      </c>
      <c r="Y65" s="18">
        <v>5</v>
      </c>
      <c r="Z65" s="18">
        <v>5</v>
      </c>
      <c r="AA65" s="18">
        <v>5</v>
      </c>
      <c r="AB65" s="18">
        <v>5</v>
      </c>
      <c r="AC65" s="18">
        <v>5</v>
      </c>
      <c r="AD65" s="18">
        <v>5</v>
      </c>
      <c r="AE65" s="18">
        <v>5</v>
      </c>
      <c r="AF65" s="18">
        <v>5</v>
      </c>
      <c r="AG65" s="18">
        <v>5</v>
      </c>
      <c r="AH65" s="19">
        <v>0</v>
      </c>
      <c r="AI65" s="18">
        <v>0</v>
      </c>
      <c r="AJ65" s="18">
        <v>0</v>
      </c>
      <c r="AK65" s="18">
        <v>0</v>
      </c>
    </row>
    <row r="66" spans="1:37" ht="16.5" x14ac:dyDescent="0.25">
      <c r="A66" s="45"/>
      <c r="B66" s="45"/>
      <c r="C66" s="41" t="s">
        <v>34</v>
      </c>
      <c r="D66" s="41"/>
      <c r="E66" s="42" t="s">
        <v>36</v>
      </c>
      <c r="F66" s="42"/>
      <c r="G66" s="18">
        <v>5</v>
      </c>
      <c r="H66" s="18">
        <v>5</v>
      </c>
      <c r="I66" s="18">
        <v>5</v>
      </c>
      <c r="J66" s="18">
        <v>5</v>
      </c>
      <c r="K66" s="18">
        <v>5</v>
      </c>
      <c r="L66" s="18">
        <v>5</v>
      </c>
      <c r="M66" s="18">
        <v>5</v>
      </c>
      <c r="N66" s="18">
        <v>5</v>
      </c>
      <c r="O66" s="18">
        <v>5</v>
      </c>
      <c r="P66" s="18">
        <v>5</v>
      </c>
      <c r="Q66" s="18">
        <v>5</v>
      </c>
      <c r="R66" s="18">
        <v>5</v>
      </c>
      <c r="S66" s="18">
        <v>5</v>
      </c>
      <c r="T66" s="18">
        <v>5</v>
      </c>
      <c r="U66" s="18">
        <v>5</v>
      </c>
      <c r="V66" s="18">
        <v>5</v>
      </c>
      <c r="W66" s="18">
        <v>5</v>
      </c>
      <c r="X66" s="18">
        <v>5</v>
      </c>
      <c r="Y66" s="18">
        <v>5</v>
      </c>
      <c r="Z66" s="18">
        <v>5</v>
      </c>
      <c r="AA66" s="18">
        <v>5</v>
      </c>
      <c r="AB66" s="18">
        <v>5</v>
      </c>
      <c r="AC66" s="18">
        <v>5</v>
      </c>
      <c r="AD66" s="18">
        <v>5</v>
      </c>
      <c r="AE66" s="18">
        <v>5</v>
      </c>
      <c r="AF66" s="18">
        <v>5</v>
      </c>
      <c r="AG66" s="18">
        <v>5</v>
      </c>
      <c r="AH66" s="19">
        <v>0</v>
      </c>
      <c r="AI66" s="18">
        <v>0</v>
      </c>
      <c r="AJ66" s="18">
        <v>0</v>
      </c>
      <c r="AK66" s="18">
        <v>0</v>
      </c>
    </row>
    <row r="67" spans="1:37" ht="16.5" x14ac:dyDescent="0.25">
      <c r="A67" s="45"/>
      <c r="B67" s="41" t="s">
        <v>189</v>
      </c>
      <c r="C67" s="41"/>
      <c r="D67" s="41"/>
      <c r="E67" s="40" t="s">
        <v>36</v>
      </c>
      <c r="F67" s="40"/>
      <c r="G67" s="18">
        <v>10</v>
      </c>
      <c r="H67" s="18">
        <v>10</v>
      </c>
      <c r="I67" s="18">
        <v>10</v>
      </c>
      <c r="J67" s="18">
        <v>10</v>
      </c>
      <c r="K67" s="18">
        <v>10</v>
      </c>
      <c r="L67" s="18">
        <v>10</v>
      </c>
      <c r="M67" s="18">
        <v>10</v>
      </c>
      <c r="N67" s="18">
        <v>10</v>
      </c>
      <c r="O67" s="18">
        <v>10</v>
      </c>
      <c r="P67" s="18">
        <v>10</v>
      </c>
      <c r="Q67" s="18">
        <v>10</v>
      </c>
      <c r="R67" s="18">
        <v>10</v>
      </c>
      <c r="S67" s="18">
        <v>10</v>
      </c>
      <c r="T67" s="18">
        <v>10</v>
      </c>
      <c r="U67" s="18">
        <v>10</v>
      </c>
      <c r="V67" s="18">
        <v>10</v>
      </c>
      <c r="W67" s="18">
        <v>10</v>
      </c>
      <c r="X67" s="18">
        <v>10</v>
      </c>
      <c r="Y67" s="18">
        <v>10</v>
      </c>
      <c r="Z67" s="18">
        <v>10</v>
      </c>
      <c r="AA67" s="18">
        <v>10</v>
      </c>
      <c r="AB67" s="18">
        <v>10</v>
      </c>
      <c r="AC67" s="18">
        <v>10</v>
      </c>
      <c r="AD67" s="18">
        <v>10</v>
      </c>
      <c r="AE67" s="18">
        <v>10</v>
      </c>
      <c r="AF67" s="18">
        <v>10</v>
      </c>
      <c r="AG67" s="18">
        <v>10</v>
      </c>
      <c r="AH67" s="18">
        <v>6</v>
      </c>
      <c r="AI67" s="19">
        <v>0</v>
      </c>
      <c r="AJ67" s="18">
        <v>0</v>
      </c>
      <c r="AK67" s="18">
        <v>0</v>
      </c>
    </row>
    <row r="68" spans="1:37" ht="16.5" x14ac:dyDescent="0.25">
      <c r="A68" s="45"/>
      <c r="B68" s="46" t="s">
        <v>190</v>
      </c>
      <c r="C68" s="47"/>
      <c r="D68" s="48"/>
      <c r="E68" s="40" t="s">
        <v>36</v>
      </c>
      <c r="F68" s="40"/>
      <c r="G68" s="18">
        <v>20</v>
      </c>
      <c r="H68" s="18">
        <v>20</v>
      </c>
      <c r="I68" s="18">
        <v>20</v>
      </c>
      <c r="J68" s="18">
        <v>20</v>
      </c>
      <c r="K68" s="18">
        <v>20</v>
      </c>
      <c r="L68" s="18">
        <v>20</v>
      </c>
      <c r="M68" s="18">
        <v>20</v>
      </c>
      <c r="N68" s="18">
        <v>20</v>
      </c>
      <c r="O68" s="18">
        <v>20</v>
      </c>
      <c r="P68" s="18">
        <v>20</v>
      </c>
      <c r="Q68" s="18">
        <v>20</v>
      </c>
      <c r="R68" s="18">
        <v>20</v>
      </c>
      <c r="S68" s="18">
        <v>20</v>
      </c>
      <c r="T68" s="18">
        <v>20</v>
      </c>
      <c r="U68" s="18">
        <v>20</v>
      </c>
      <c r="V68" s="18">
        <v>20</v>
      </c>
      <c r="W68" s="18">
        <v>20</v>
      </c>
      <c r="X68" s="18">
        <v>20</v>
      </c>
      <c r="Y68" s="18">
        <v>20</v>
      </c>
      <c r="Z68" s="18">
        <v>20</v>
      </c>
      <c r="AA68" s="18">
        <v>20</v>
      </c>
      <c r="AB68" s="18">
        <v>20</v>
      </c>
      <c r="AC68" s="18">
        <v>20</v>
      </c>
      <c r="AD68" s="18">
        <v>20</v>
      </c>
      <c r="AE68" s="18">
        <v>20</v>
      </c>
      <c r="AF68" s="18">
        <v>20</v>
      </c>
      <c r="AG68" s="18">
        <v>20</v>
      </c>
      <c r="AH68" s="18">
        <v>20</v>
      </c>
      <c r="AI68" s="18">
        <v>20</v>
      </c>
      <c r="AJ68" s="18">
        <v>10</v>
      </c>
      <c r="AK68" s="19">
        <v>0</v>
      </c>
    </row>
    <row r="69" spans="1:37" ht="16.5" x14ac:dyDescent="0.25">
      <c r="A69" s="45"/>
      <c r="B69" s="50" t="s">
        <v>12</v>
      </c>
      <c r="C69" s="51"/>
      <c r="D69" s="52"/>
      <c r="E69" s="56" t="s">
        <v>11</v>
      </c>
      <c r="F69" s="57"/>
      <c r="G69" s="56">
        <f>SUM(G16:G68)</f>
        <v>174</v>
      </c>
      <c r="H69" s="57"/>
      <c r="I69" s="18">
        <f t="shared" ref="I69:Y69" si="0">SUM(I16:I68)</f>
        <v>156</v>
      </c>
      <c r="J69" s="18">
        <f t="shared" si="0"/>
        <v>153</v>
      </c>
      <c r="K69" s="18">
        <f t="shared" si="0"/>
        <v>151</v>
      </c>
      <c r="L69" s="18">
        <f t="shared" si="0"/>
        <v>147</v>
      </c>
      <c r="M69" s="18">
        <f>SUM(M16:M68)+M22</f>
        <v>145</v>
      </c>
      <c r="N69" s="18">
        <f>SUM(N16:N68)</f>
        <v>135</v>
      </c>
      <c r="O69" s="18">
        <f>SUM(O16:O68)-O26</f>
        <v>130</v>
      </c>
      <c r="P69" s="18">
        <f>SUM(P16:P68)</f>
        <v>126</v>
      </c>
      <c r="Q69" s="18">
        <f>SUM(Q16:Q68)+Q32</f>
        <v>125</v>
      </c>
      <c r="R69" s="18">
        <f>SUM(R16:R68)-R34</f>
        <v>109</v>
      </c>
      <c r="S69" s="18">
        <f>SUM(S16:S68)</f>
        <v>107</v>
      </c>
      <c r="T69" s="18">
        <f>SUM(T16:T68)</f>
        <v>104</v>
      </c>
      <c r="U69" s="18">
        <f>SUM(U16:U68)-U38</f>
        <v>101</v>
      </c>
      <c r="V69" s="18">
        <f>SUM(V16:V68)</f>
        <v>98</v>
      </c>
      <c r="W69" s="18">
        <f>SUM(W16:W68)+W41</f>
        <v>96</v>
      </c>
      <c r="X69" s="18">
        <f>SUM(X16:X68)</f>
        <v>90</v>
      </c>
      <c r="Y69" s="18">
        <f>SUM(Y16:Y68)</f>
        <v>88</v>
      </c>
      <c r="Z69" s="18">
        <f>SUM(Z16:Z68)</f>
        <v>82</v>
      </c>
      <c r="AA69" s="18">
        <f>SUM(AA16:AA68)+AA47</f>
        <v>89</v>
      </c>
      <c r="AB69" s="18">
        <f>SUM(AB16:AB68)-AB49</f>
        <v>70</v>
      </c>
      <c r="AC69" s="18">
        <f>SUM(AC16:AC68)</f>
        <v>64</v>
      </c>
      <c r="AD69" s="18">
        <f t="shared" ref="AA69:AK69" si="1">SUM(AD16:AD68)</f>
        <v>60</v>
      </c>
      <c r="AE69" s="18">
        <f t="shared" si="1"/>
        <v>54</v>
      </c>
      <c r="AF69" s="18">
        <f t="shared" si="1"/>
        <v>50</v>
      </c>
      <c r="AG69" s="18">
        <f t="shared" si="1"/>
        <v>40</v>
      </c>
      <c r="AH69" s="18">
        <f t="shared" si="1"/>
        <v>26</v>
      </c>
      <c r="AI69" s="18">
        <f>SUM(AI16:AI68)</f>
        <v>20</v>
      </c>
      <c r="AJ69" s="18">
        <f>SUM(AJ16:AJ68)</f>
        <v>10</v>
      </c>
      <c r="AK69" s="18">
        <f t="shared" si="1"/>
        <v>0</v>
      </c>
    </row>
    <row r="70" spans="1:37" ht="16.5" x14ac:dyDescent="0.25">
      <c r="A70" s="45"/>
      <c r="B70" s="53"/>
      <c r="C70" s="54"/>
      <c r="D70" s="55"/>
      <c r="E70" s="58" t="s">
        <v>37</v>
      </c>
      <c r="F70" s="58"/>
      <c r="G70" s="58">
        <f>SUM(H16:H68)</f>
        <v>169</v>
      </c>
      <c r="H70" s="58"/>
      <c r="I70" s="18">
        <v>159</v>
      </c>
      <c r="J70" s="18">
        <v>155</v>
      </c>
      <c r="K70" s="18">
        <v>151</v>
      </c>
      <c r="L70" s="18">
        <v>147</v>
      </c>
      <c r="M70" s="18">
        <v>143</v>
      </c>
      <c r="N70" s="18">
        <v>140</v>
      </c>
      <c r="O70" s="18">
        <v>130</v>
      </c>
      <c r="P70" s="18">
        <v>126</v>
      </c>
      <c r="Q70" s="18">
        <v>120</v>
      </c>
      <c r="R70" s="18">
        <v>110</v>
      </c>
      <c r="S70" s="18">
        <v>107</v>
      </c>
      <c r="T70" s="18">
        <v>104</v>
      </c>
      <c r="U70" s="18">
        <v>101</v>
      </c>
      <c r="V70" s="18">
        <v>98</v>
      </c>
      <c r="W70" s="18">
        <v>95</v>
      </c>
      <c r="X70" s="18">
        <v>92</v>
      </c>
      <c r="Y70" s="18">
        <v>89</v>
      </c>
      <c r="Z70" s="18">
        <v>86</v>
      </c>
      <c r="AA70" s="18">
        <v>80</v>
      </c>
      <c r="AB70" s="18">
        <v>70</v>
      </c>
      <c r="AC70" s="18">
        <v>64</v>
      </c>
      <c r="AD70" s="18">
        <v>60</v>
      </c>
      <c r="AE70" s="18">
        <v>54</v>
      </c>
      <c r="AF70" s="18">
        <v>50</v>
      </c>
      <c r="AG70" s="18">
        <v>40</v>
      </c>
      <c r="AH70" s="18">
        <v>30</v>
      </c>
      <c r="AI70" s="18">
        <v>20</v>
      </c>
      <c r="AJ70" s="18">
        <v>20</v>
      </c>
      <c r="AK70" s="18">
        <f>SUM(AK16:AK68)</f>
        <v>0</v>
      </c>
    </row>
  </sheetData>
  <mergeCells count="127">
    <mergeCell ref="B69:D70"/>
    <mergeCell ref="E69:F69"/>
    <mergeCell ref="G69:H69"/>
    <mergeCell ref="E70:F70"/>
    <mergeCell ref="G70:H70"/>
    <mergeCell ref="B65:B66"/>
    <mergeCell ref="C65:D65"/>
    <mergeCell ref="E65:F65"/>
    <mergeCell ref="C66:D66"/>
    <mergeCell ref="E66:F66"/>
    <mergeCell ref="E68:F68"/>
    <mergeCell ref="C31:D31"/>
    <mergeCell ref="B60:B64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B50:B54"/>
    <mergeCell ref="B55:B59"/>
    <mergeCell ref="C56:D56"/>
    <mergeCell ref="E56:F56"/>
    <mergeCell ref="C57:D57"/>
    <mergeCell ref="E57:F57"/>
    <mergeCell ref="C58:D58"/>
    <mergeCell ref="E58:F58"/>
    <mergeCell ref="C59:D59"/>
    <mergeCell ref="E59:F59"/>
    <mergeCell ref="C53:D53"/>
    <mergeCell ref="E53:F53"/>
    <mergeCell ref="C54:D54"/>
    <mergeCell ref="E54:F54"/>
    <mergeCell ref="C51:D51"/>
    <mergeCell ref="E51:F51"/>
    <mergeCell ref="C50:D50"/>
    <mergeCell ref="E50:F50"/>
    <mergeCell ref="C15:D15"/>
    <mergeCell ref="E15:F15"/>
    <mergeCell ref="E30:F30"/>
    <mergeCell ref="E26:F26"/>
    <mergeCell ref="C25:D25"/>
    <mergeCell ref="C26:D26"/>
    <mergeCell ref="C27:D27"/>
    <mergeCell ref="E25:F25"/>
    <mergeCell ref="B18:D18"/>
    <mergeCell ref="E18:F18"/>
    <mergeCell ref="E27:F27"/>
    <mergeCell ref="E29:F29"/>
    <mergeCell ref="C30:D30"/>
    <mergeCell ref="C28:D28"/>
    <mergeCell ref="E31:F31"/>
    <mergeCell ref="B27:B34"/>
    <mergeCell ref="E28:F28"/>
    <mergeCell ref="E36:F36"/>
    <mergeCell ref="C43:D43"/>
    <mergeCell ref="C44:D44"/>
    <mergeCell ref="C45:D45"/>
    <mergeCell ref="C32:D32"/>
    <mergeCell ref="C33:D33"/>
    <mergeCell ref="C34:D34"/>
    <mergeCell ref="E41:F41"/>
    <mergeCell ref="C38:D38"/>
    <mergeCell ref="E38:F38"/>
    <mergeCell ref="E37:F37"/>
    <mergeCell ref="E34:F34"/>
    <mergeCell ref="B35:B49"/>
    <mergeCell ref="E43:F43"/>
    <mergeCell ref="E45:F45"/>
    <mergeCell ref="E42:F42"/>
    <mergeCell ref="C35:D35"/>
    <mergeCell ref="E35:F35"/>
    <mergeCell ref="C40:D40"/>
    <mergeCell ref="E40:F40"/>
    <mergeCell ref="C36:D36"/>
    <mergeCell ref="A16:A70"/>
    <mergeCell ref="B16:D16"/>
    <mergeCell ref="E16:F16"/>
    <mergeCell ref="B17:D17"/>
    <mergeCell ref="E17:F17"/>
    <mergeCell ref="B19:B26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E24:F24"/>
    <mergeCell ref="C29:D29"/>
    <mergeCell ref="C24:D24"/>
    <mergeCell ref="C55:D55"/>
    <mergeCell ref="C52:D52"/>
    <mergeCell ref="B67:D67"/>
    <mergeCell ref="E67:F67"/>
    <mergeCell ref="B68:D68"/>
    <mergeCell ref="B13:C13"/>
    <mergeCell ref="A1:B1"/>
    <mergeCell ref="A2:B2"/>
    <mergeCell ref="A3:B3"/>
    <mergeCell ref="A4:B4"/>
    <mergeCell ref="B6:E6"/>
    <mergeCell ref="E55:F55"/>
    <mergeCell ref="E52:F52"/>
    <mergeCell ref="E39:F39"/>
    <mergeCell ref="E32:F32"/>
    <mergeCell ref="E33:F33"/>
    <mergeCell ref="C42:D42"/>
    <mergeCell ref="C46:D46"/>
    <mergeCell ref="E46:F46"/>
    <mergeCell ref="E44:F44"/>
    <mergeCell ref="C48:D48"/>
    <mergeCell ref="C49:D49"/>
    <mergeCell ref="E49:F49"/>
    <mergeCell ref="E48:F48"/>
    <mergeCell ref="C39:D39"/>
    <mergeCell ref="C37:D37"/>
    <mergeCell ref="C47:D47"/>
    <mergeCell ref="E47:F47"/>
    <mergeCell ref="C41:D41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selection activeCell="G11" sqref="G11"/>
    </sheetView>
  </sheetViews>
  <sheetFormatPr defaultRowHeight="15" x14ac:dyDescent="0.25"/>
  <cols>
    <col min="2" max="11" width="10" customWidth="1"/>
  </cols>
  <sheetData>
    <row r="1" spans="1:11" ht="16.5" x14ac:dyDescent="0.25">
      <c r="A1" s="63" t="s">
        <v>39</v>
      </c>
      <c r="B1" s="64"/>
      <c r="C1" s="64"/>
      <c r="D1" s="64"/>
      <c r="E1" s="64"/>
      <c r="F1" s="64"/>
      <c r="G1" s="64"/>
      <c r="H1" s="64"/>
      <c r="I1" s="64"/>
      <c r="J1" s="64"/>
      <c r="K1" s="65"/>
    </row>
    <row r="2" spans="1:11" ht="16.5" x14ac:dyDescent="0.25">
      <c r="A2" s="66"/>
      <c r="B2" s="67" t="s">
        <v>69</v>
      </c>
      <c r="C2" s="67"/>
      <c r="D2" s="67" t="s">
        <v>54</v>
      </c>
      <c r="E2" s="67"/>
      <c r="F2" s="67" t="s">
        <v>55</v>
      </c>
      <c r="G2" s="67"/>
      <c r="H2" s="67" t="s">
        <v>47</v>
      </c>
      <c r="I2" s="67"/>
      <c r="J2" s="67" t="s">
        <v>70</v>
      </c>
      <c r="K2" s="68"/>
    </row>
    <row r="3" spans="1:11" ht="16.5" x14ac:dyDescent="0.25">
      <c r="A3" s="66"/>
      <c r="B3" s="21" t="s">
        <v>11</v>
      </c>
      <c r="C3" s="21" t="s">
        <v>37</v>
      </c>
      <c r="D3" s="21" t="s">
        <v>11</v>
      </c>
      <c r="E3" s="21" t="s">
        <v>37</v>
      </c>
      <c r="F3" s="21" t="s">
        <v>11</v>
      </c>
      <c r="G3" s="21" t="s">
        <v>37</v>
      </c>
      <c r="H3" s="21" t="s">
        <v>11</v>
      </c>
      <c r="I3" s="21" t="s">
        <v>37</v>
      </c>
      <c r="J3" s="21" t="s">
        <v>11</v>
      </c>
      <c r="K3" s="22" t="s">
        <v>37</v>
      </c>
    </row>
    <row r="4" spans="1:11" ht="16.5" x14ac:dyDescent="0.25">
      <c r="A4" s="25" t="s">
        <v>4</v>
      </c>
      <c r="B4" s="23">
        <f ca="1">'Sprint 1'!$D$8</f>
        <v>57</v>
      </c>
      <c r="C4" s="23">
        <f ca="1">'Sprint 1'!$E$8</f>
        <v>56.6</v>
      </c>
      <c r="D4" s="23">
        <f ca="1">'Sprint 1'!$D$9</f>
        <v>65</v>
      </c>
      <c r="E4" s="23">
        <f ca="1">'Sprint 1'!$E$9</f>
        <v>61.6</v>
      </c>
      <c r="F4" s="23">
        <f ca="1">'Sprint 1'!$D$10</f>
        <v>89</v>
      </c>
      <c r="G4" s="23">
        <f ca="1">'Sprint 1'!$E$10</f>
        <v>58.6</v>
      </c>
      <c r="H4" s="23">
        <f ca="1">'Sprint 1'!$D$11</f>
        <v>73</v>
      </c>
      <c r="I4" s="23">
        <f ca="1">'Sprint 1'!$E$11</f>
        <v>56.6</v>
      </c>
      <c r="J4" s="23">
        <f ca="1">'Sprint 1'!$D$12</f>
        <v>47</v>
      </c>
      <c r="K4" s="23">
        <f ca="1">'Sprint 1'!$E$12</f>
        <v>42.6</v>
      </c>
    </row>
    <row r="5" spans="1:11" ht="16.5" x14ac:dyDescent="0.25">
      <c r="A5" s="25" t="s">
        <v>29</v>
      </c>
      <c r="B5" s="23">
        <f ca="1">'Sprint 2'!$D$8</f>
        <v>30.8</v>
      </c>
      <c r="C5" s="23">
        <f ca="1">'Sprint 2'!$E$8</f>
        <v>32</v>
      </c>
      <c r="D5" s="23">
        <f ca="1">'Sprint 2'!$D$9</f>
        <v>33.799999999999997</v>
      </c>
      <c r="E5" s="23">
        <f ca="1">'Sprint 2'!$E$9</f>
        <v>36</v>
      </c>
      <c r="F5" s="23">
        <f ca="1">'Sprint 2'!$D$10</f>
        <v>47.8</v>
      </c>
      <c r="G5" s="23">
        <f ca="1">'Sprint 2'!$E$10</f>
        <v>37</v>
      </c>
      <c r="H5" s="23">
        <f ca="1">'Sprint 2'!$D$11</f>
        <v>30.8</v>
      </c>
      <c r="I5" s="23">
        <f ca="1">'Sprint 2'!$E$11</f>
        <v>32</v>
      </c>
      <c r="J5" s="23">
        <f ca="1">'Sprint 2'!$D$12</f>
        <v>30.8</v>
      </c>
      <c r="K5" s="23">
        <f ca="1">'Sprint 2'!$E$12</f>
        <v>32</v>
      </c>
    </row>
    <row r="6" spans="1:11" ht="17.25" thickBot="1" x14ac:dyDescent="0.3">
      <c r="A6" s="26" t="s">
        <v>12</v>
      </c>
      <c r="B6" s="24">
        <f ca="1">SUM(B4:B5)</f>
        <v>87.8</v>
      </c>
      <c r="C6" s="24">
        <f t="shared" ref="C6:K6" ca="1" si="0">SUM(C4:C5)</f>
        <v>88.6</v>
      </c>
      <c r="D6" s="24">
        <f t="shared" ca="1" si="0"/>
        <v>98.8</v>
      </c>
      <c r="E6" s="24">
        <f t="shared" ca="1" si="0"/>
        <v>97.6</v>
      </c>
      <c r="F6" s="24">
        <f t="shared" ca="1" si="0"/>
        <v>136.80000000000001</v>
      </c>
      <c r="G6" s="24">
        <f t="shared" ca="1" si="0"/>
        <v>95.6</v>
      </c>
      <c r="H6" s="24">
        <f t="shared" ca="1" si="0"/>
        <v>103.8</v>
      </c>
      <c r="I6" s="24">
        <f t="shared" ca="1" si="0"/>
        <v>88.6</v>
      </c>
      <c r="J6" s="24">
        <f t="shared" ca="1" si="0"/>
        <v>77.8</v>
      </c>
      <c r="K6" s="24">
        <f t="shared" ca="1" si="0"/>
        <v>74.599999999999994</v>
      </c>
    </row>
    <row r="8" spans="1:11" ht="15.75" thickBot="1" x14ac:dyDescent="0.3"/>
    <row r="9" spans="1:11" ht="16.5" x14ac:dyDescent="0.25">
      <c r="E9" s="61" t="s">
        <v>40</v>
      </c>
      <c r="F9" s="62"/>
    </row>
    <row r="10" spans="1:11" ht="16.5" x14ac:dyDescent="0.25">
      <c r="E10" s="27" t="s">
        <v>11</v>
      </c>
      <c r="F10" s="28">
        <f ca="1">SUMIF($B$3:$K$3,"Thực tế",$B$6:$K$6)</f>
        <v>505</v>
      </c>
    </row>
    <row r="11" spans="1:11" ht="17.25" thickBot="1" x14ac:dyDescent="0.3">
      <c r="E11" s="29" t="s">
        <v>37</v>
      </c>
      <c r="F11" s="30">
        <f ca="1">SUMIF($B$3:$K$3,"Ước tính",$B$6:$K$6)</f>
        <v>445</v>
      </c>
    </row>
  </sheetData>
  <mergeCells count="8">
    <mergeCell ref="E9:F9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</cp:lastModifiedBy>
  <dcterms:created xsi:type="dcterms:W3CDTF">2021-04-23T08:05:10Z</dcterms:created>
  <dcterms:modified xsi:type="dcterms:W3CDTF">2026-04-29T08:16:04Z</dcterms:modified>
</cp:coreProperties>
</file>